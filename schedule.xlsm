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9340" windowHeight="13300"/>
  </bookViews>
  <sheets>
    <sheet name="schedule" sheetId="10" r:id="rId1"/>
    <sheet name="版权说明" sheetId="4" r:id="rId2"/>
  </sheets>
  <calcPr calcId="144525"/>
</workbook>
</file>

<file path=xl/sharedStrings.xml><?xml version="1.0" encoding="utf-8"?>
<sst xmlns="http://schemas.openxmlformats.org/spreadsheetml/2006/main" count="122" uniqueCount="39">
  <si>
    <r>
      <rPr>
        <b/>
        <sz val="36"/>
        <color rgb="FF735773"/>
        <rFont val="微软雅黑"/>
        <charset val="134"/>
      </rPr>
      <t>项目进度计划</t>
    </r>
    <r>
      <rPr>
        <b/>
        <sz val="22"/>
        <color theme="9" tint="-0.499984740745262"/>
        <rFont val="微软雅黑"/>
        <charset val="134"/>
      </rPr>
      <t xml:space="preserve">
Project Schedule</t>
    </r>
  </si>
  <si>
    <t>编号</t>
  </si>
  <si>
    <t>工作名称</t>
  </si>
  <si>
    <t>类型</t>
  </si>
  <si>
    <t>开始日</t>
  </si>
  <si>
    <t>预计工期</t>
  </si>
  <si>
    <t>结束日</t>
  </si>
  <si>
    <t>完成比例</t>
  </si>
  <si>
    <t>完成天数</t>
  </si>
  <si>
    <t>完成情况</t>
  </si>
  <si>
    <t>备注</t>
  </si>
  <si>
    <t>组队</t>
  </si>
  <si>
    <t>计划开始日</t>
  </si>
  <si>
    <t>实际开始日</t>
  </si>
  <si>
    <t>已经完成</t>
  </si>
  <si>
    <t>选择题目</t>
  </si>
  <si>
    <t>编写计划书</t>
  </si>
  <si>
    <t>本文档由稻壳儿奋斗的小青年设计制作，盗版必究。</t>
  </si>
  <si>
    <t>学习</t>
  </si>
  <si>
    <t>修改计划书</t>
  </si>
  <si>
    <t>滞后</t>
  </si>
  <si>
    <t>编写生成模型demo</t>
  </si>
  <si>
    <t>编写检测模型demo</t>
  </si>
  <si>
    <t>编写生成模型</t>
  </si>
  <si>
    <t>编写检测模型</t>
  </si>
  <si>
    <t>测试模型</t>
  </si>
  <si>
    <t>完善生成模型</t>
  </si>
  <si>
    <t>完善检测模型</t>
  </si>
  <si>
    <t>后端开发（上传）</t>
  </si>
  <si>
    <t>后端开发（下载）</t>
  </si>
  <si>
    <t>测试</t>
  </si>
  <si>
    <t>后端开发（次要功能）</t>
  </si>
  <si>
    <t>界面设计</t>
  </si>
  <si>
    <t>前端开发</t>
  </si>
  <si>
    <t>前端开发（接入后端）</t>
  </si>
  <si>
    <t>整体测试</t>
  </si>
  <si>
    <t>汇报</t>
  </si>
  <si>
    <r>
      <rPr>
        <b/>
        <u/>
        <sz val="16"/>
        <color theme="0"/>
        <rFont val="微软雅黑"/>
        <charset val="134"/>
      </rPr>
      <t>版权申明：</t>
    </r>
    <r>
      <rPr>
        <sz val="11"/>
        <color theme="0"/>
        <rFont val="微软雅黑"/>
        <charset val="134"/>
      </rPr>
      <t xml:space="preserve">
</t>
    </r>
    <r>
      <rPr>
        <sz val="9"/>
        <color theme="0"/>
        <rFont val="微软雅黑"/>
        <charset val="134"/>
      </rPr>
      <t xml:space="preserve">Copyright Notes: </t>
    </r>
  </si>
  <si>
    <r>
      <rPr>
        <sz val="12"/>
        <color theme="1"/>
        <rFont val="微软雅黑"/>
        <charset val="134"/>
      </rPr>
      <t>1、本文档由稻壳儿设计师"奋斗的小青年"制作完成（身份证尾号：262930）。</t>
    </r>
    <r>
      <rPr>
        <sz val="12"/>
        <color rgb="FF00B0F0"/>
        <rFont val="微软雅黑"/>
        <charset val="134"/>
      </rPr>
      <t>所有文档均有合法版权证明</t>
    </r>
    <r>
      <rPr>
        <sz val="12"/>
        <color theme="1"/>
        <rFont val="微软雅黑"/>
        <charset val="134"/>
      </rPr>
      <t>，并委托由第三方机构负责版权维护，对于所有盗版商用必投诉追究到底，依法追究盗版者责任，以维护创作者的合法权益。</t>
    </r>
    <r>
      <rPr>
        <sz val="11"/>
        <color theme="1"/>
        <rFont val="微软雅黑"/>
        <charset val="134"/>
      </rPr>
      <t xml:space="preserve">
</t>
    </r>
    <r>
      <rPr>
        <sz val="9"/>
        <color theme="0" tint="-0.499984740745262"/>
        <rFont val="微软雅黑"/>
        <charset val="134"/>
      </rPr>
      <t xml:space="preserve">1. This document was produced by rice husk designer "struggling young people" (ID number: 262930). All documents have legitimate copyright certificates, and entrust third-party organizations to be responsible for copyright protection. All commercial piracy complaints must be investigated to the end, and pirates should be held accountable according to law in order to safeguard the legitimate rights and interests of creators. </t>
    </r>
    <r>
      <rPr>
        <sz val="11"/>
        <color theme="1"/>
        <rFont val="微软雅黑"/>
        <charset val="134"/>
      </rPr>
      <t xml:space="preserve">
</t>
    </r>
    <r>
      <rPr>
        <sz val="12"/>
        <color theme="1"/>
        <rFont val="微软雅黑"/>
        <charset val="134"/>
      </rPr>
      <t>2、本文档亦隐藏有设计师的专属印记，望慎之。</t>
    </r>
    <r>
      <rPr>
        <sz val="11"/>
        <color theme="1"/>
        <rFont val="微软雅黑"/>
        <charset val="134"/>
      </rPr>
      <t xml:space="preserve">
</t>
    </r>
    <r>
      <rPr>
        <sz val="9"/>
        <color theme="0" tint="-0.499984740745262"/>
        <rFont val="微软雅黑"/>
        <charset val="134"/>
      </rPr>
      <t xml:space="preserve">2. This document also hides the designer's exclusive imprint, so be careful. </t>
    </r>
    <r>
      <rPr>
        <sz val="11"/>
        <color theme="1"/>
        <rFont val="微软雅黑"/>
        <charset val="134"/>
      </rPr>
      <t xml:space="preserve">
</t>
    </r>
    <r>
      <rPr>
        <sz val="12"/>
        <color theme="1"/>
        <rFont val="微软雅黑"/>
        <charset val="134"/>
      </rPr>
      <t>3、如需参考本设计师的更多作品，请移步稻壳儿网站如下链接查找：</t>
    </r>
    <r>
      <rPr>
        <sz val="11"/>
        <color theme="1"/>
        <rFont val="微软雅黑"/>
        <charset val="134"/>
      </rPr>
      <t xml:space="preserve">
</t>
    </r>
    <r>
      <rPr>
        <sz val="9"/>
        <color theme="0" tint="-0.499984740745262"/>
        <rFont val="微软雅黑"/>
        <charset val="134"/>
      </rPr>
      <t xml:space="preserve">3. If you need to refer to more works of this designer, please go to the website of Rice Hull to find the following links: </t>
    </r>
    <r>
      <rPr>
        <sz val="11"/>
        <color theme="1"/>
        <rFont val="微软雅黑"/>
        <charset val="134"/>
      </rPr>
      <t xml:space="preserve">
</t>
    </r>
    <r>
      <rPr>
        <u/>
        <sz val="14"/>
        <color rgb="FF00B0F0"/>
        <rFont val="微软雅黑"/>
        <charset val="134"/>
      </rPr>
      <t>https://chn.docer.com/works?userid=545665384</t>
    </r>
  </si>
</sst>
</file>

<file path=xl/styles.xml><?xml version="1.0" encoding="utf-8"?>
<styleSheet xmlns="http://schemas.openxmlformats.org/spreadsheetml/2006/main">
  <numFmts count="7">
    <numFmt numFmtId="176" formatCode="[$-409]d\-mmm\-yy;@"/>
    <numFmt numFmtId="177" formatCode="0.00_);[Red]\(0.00\)"/>
    <numFmt numFmtId="42" formatCode="_ &quot;￥&quot;* #,##0_ ;_ &quot;￥&quot;* \-#,##0_ ;_ &quot;￥&quot;* &quot;-&quot;_ ;_ @_ "/>
    <numFmt numFmtId="44" formatCode="_ &quot;￥&quot;* #,##0.00_ ;_ &quot;￥&quot;* \-#,##0.00_ ;_ &quot;￥&quot;* &quot;-&quot;??_ ;_ @_ "/>
    <numFmt numFmtId="178" formatCode="[$-409]dd\-mmm\-yy;@"/>
    <numFmt numFmtId="41" formatCode="_ * #,##0_ ;_ * \-#,##0_ ;_ * &quot;-&quot;_ ;_ @_ "/>
    <numFmt numFmtId="43" formatCode="_ * #,##0.00_ ;_ * \-#,##0.00_ ;_ * &quot;-&quot;??_ ;_ @_ "/>
  </numFmts>
  <fonts count="34">
    <font>
      <sz val="11"/>
      <color theme="1"/>
      <name val="宋体"/>
      <charset val="134"/>
      <scheme val="minor"/>
    </font>
    <font>
      <sz val="11"/>
      <color theme="0"/>
      <name val="微软雅黑"/>
      <charset val="134"/>
    </font>
    <font>
      <sz val="12"/>
      <color theme="1"/>
      <name val="微软雅黑"/>
      <charset val="134"/>
    </font>
    <font>
      <sz val="11"/>
      <color theme="1"/>
      <name val="微软雅黑"/>
      <charset val="134"/>
    </font>
    <font>
      <b/>
      <sz val="36"/>
      <color rgb="FF735773"/>
      <name val="微软雅黑"/>
      <charset val="134"/>
    </font>
    <font>
      <b/>
      <sz val="22"/>
      <color theme="9" tint="-0.499984740745262"/>
      <name val="微软雅黑"/>
      <charset val="134"/>
    </font>
    <font>
      <sz val="10"/>
      <color rgb="FF735773"/>
      <name val="微软雅黑"/>
      <charset val="134"/>
    </font>
    <font>
      <sz val="10"/>
      <color theme="1" tint="0.249977111117893"/>
      <name val="微软雅黑"/>
      <charset val="134"/>
    </font>
    <font>
      <sz val="11"/>
      <color theme="0"/>
      <name val="宋体"/>
      <charset val="134"/>
      <scheme val="minor"/>
    </font>
    <font>
      <b/>
      <sz val="13"/>
      <color theme="3"/>
      <name val="宋体"/>
      <charset val="134"/>
      <scheme val="minor"/>
    </font>
    <font>
      <sz val="11"/>
      <color theme="1"/>
      <name val="宋体"/>
      <charset val="0"/>
      <scheme val="minor"/>
    </font>
    <font>
      <sz val="11"/>
      <color theme="0"/>
      <name val="宋体"/>
      <charset val="0"/>
      <scheme val="minor"/>
    </font>
    <font>
      <u/>
      <sz val="11"/>
      <color rgb="FF800080"/>
      <name val="宋体"/>
      <charset val="0"/>
      <scheme val="minor"/>
    </font>
    <font>
      <u/>
      <sz val="11"/>
      <color rgb="FF0000FF"/>
      <name val="宋体"/>
      <charset val="0"/>
      <scheme val="minor"/>
    </font>
    <font>
      <b/>
      <sz val="11"/>
      <color theme="3"/>
      <name val="宋体"/>
      <charset val="134"/>
      <scheme val="minor"/>
    </font>
    <font>
      <b/>
      <sz val="15"/>
      <color theme="3"/>
      <name val="宋体"/>
      <charset val="134"/>
      <scheme val="minor"/>
    </font>
    <font>
      <b/>
      <sz val="11"/>
      <color theme="1"/>
      <name val="宋体"/>
      <charset val="0"/>
      <scheme val="minor"/>
    </font>
    <font>
      <sz val="11"/>
      <color rgb="FF9C6500"/>
      <name val="宋体"/>
      <charset val="0"/>
      <scheme val="minor"/>
    </font>
    <font>
      <b/>
      <sz val="18"/>
      <color theme="3"/>
      <name val="宋体"/>
      <charset val="134"/>
      <scheme val="minor"/>
    </font>
    <font>
      <b/>
      <sz val="11"/>
      <color rgb="FF3F3F3F"/>
      <name val="宋体"/>
      <charset val="0"/>
      <scheme val="minor"/>
    </font>
    <font>
      <b/>
      <sz val="11"/>
      <color rgb="FFFFFFFF"/>
      <name val="宋体"/>
      <charset val="0"/>
      <scheme val="minor"/>
    </font>
    <font>
      <sz val="11"/>
      <color rgb="FFFA7D00"/>
      <name val="宋体"/>
      <charset val="0"/>
      <scheme val="minor"/>
    </font>
    <font>
      <sz val="11"/>
      <color rgb="FFFF0000"/>
      <name val="宋体"/>
      <charset val="0"/>
      <scheme val="minor"/>
    </font>
    <font>
      <sz val="11"/>
      <color rgb="FF006100"/>
      <name val="宋体"/>
      <charset val="0"/>
      <scheme val="minor"/>
    </font>
    <font>
      <b/>
      <sz val="11"/>
      <color rgb="FFFA7D00"/>
      <name val="宋体"/>
      <charset val="0"/>
      <scheme val="minor"/>
    </font>
    <font>
      <sz val="11"/>
      <color rgb="FF3F3F76"/>
      <name val="宋体"/>
      <charset val="0"/>
      <scheme val="minor"/>
    </font>
    <font>
      <b/>
      <sz val="13"/>
      <color theme="7"/>
      <name val="Microsoft YaHei UI"/>
      <charset val="134"/>
    </font>
    <font>
      <sz val="11"/>
      <color rgb="FF9C0006"/>
      <name val="宋体"/>
      <charset val="0"/>
      <scheme val="minor"/>
    </font>
    <font>
      <i/>
      <sz val="11"/>
      <color rgb="FF7F7F7F"/>
      <name val="宋体"/>
      <charset val="0"/>
      <scheme val="minor"/>
    </font>
    <font>
      <b/>
      <u/>
      <sz val="16"/>
      <color theme="0"/>
      <name val="微软雅黑"/>
      <charset val="134"/>
    </font>
    <font>
      <sz val="9"/>
      <color theme="0"/>
      <name val="微软雅黑"/>
      <charset val="134"/>
    </font>
    <font>
      <sz val="12"/>
      <color rgb="FF00B0F0"/>
      <name val="微软雅黑"/>
      <charset val="134"/>
    </font>
    <font>
      <sz val="9"/>
      <color theme="0" tint="-0.499984740745262"/>
      <name val="微软雅黑"/>
      <charset val="134"/>
    </font>
    <font>
      <u/>
      <sz val="14"/>
      <color rgb="FF00B0F0"/>
      <name val="微软雅黑"/>
      <charset val="134"/>
    </font>
  </fonts>
  <fills count="36">
    <fill>
      <patternFill patternType="none"/>
    </fill>
    <fill>
      <patternFill patternType="gray125"/>
    </fill>
    <fill>
      <patternFill patternType="solid">
        <fgColor theme="0" tint="-0.149998474074526"/>
        <bgColor indexed="64"/>
      </patternFill>
    </fill>
    <fill>
      <patternFill patternType="solid">
        <fgColor rgb="FF00A79D"/>
        <bgColor indexed="64"/>
      </patternFill>
    </fill>
    <fill>
      <patternFill patternType="solid">
        <fgColor theme="0"/>
        <bgColor indexed="64"/>
      </patternFill>
    </fill>
    <fill>
      <patternFill patternType="solid">
        <fgColor theme="5" tint="0.599993896298105"/>
        <bgColor indexed="64"/>
      </patternFill>
    </fill>
    <fill>
      <patternFill patternType="solid">
        <fgColor theme="9"/>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theme="5" tint="0.399975585192419"/>
        <bgColor indexed="64"/>
      </patternFill>
    </fill>
    <fill>
      <patternFill patternType="solid">
        <fgColor theme="9" tint="0.799981688894314"/>
        <bgColor indexed="64"/>
      </patternFill>
    </fill>
    <fill>
      <patternFill patternType="solid">
        <fgColor theme="5" tint="0.799981688894314"/>
        <bgColor indexed="64"/>
      </patternFill>
    </fill>
    <fill>
      <patternFill patternType="solid">
        <fgColor rgb="FFFFFFCC"/>
        <bgColor indexed="64"/>
      </patternFill>
    </fill>
    <fill>
      <patternFill patternType="solid">
        <fgColor theme="6" tint="0.799981688894314"/>
        <bgColor indexed="64"/>
      </patternFill>
    </fill>
    <fill>
      <patternFill patternType="solid">
        <fgColor rgb="FFFFEB9C"/>
        <bgColor indexed="64"/>
      </patternFill>
    </fill>
    <fill>
      <patternFill patternType="solid">
        <fgColor theme="9" tint="0.599993896298105"/>
        <bgColor indexed="64"/>
      </patternFill>
    </fill>
    <fill>
      <patternFill patternType="solid">
        <fgColor theme="4" tint="0.799981688894314"/>
        <bgColor indexed="64"/>
      </patternFill>
    </fill>
    <fill>
      <patternFill patternType="solid">
        <fgColor theme="6" tint="0.399975585192419"/>
        <bgColor indexed="64"/>
      </patternFill>
    </fill>
    <fill>
      <patternFill patternType="solid">
        <fgColor theme="8" tint="0.799981688894314"/>
        <bgColor indexed="64"/>
      </patternFill>
    </fill>
    <fill>
      <patternFill patternType="solid">
        <fgColor theme="4"/>
        <bgColor indexed="64"/>
      </patternFill>
    </fill>
    <fill>
      <patternFill patternType="solid">
        <fgColor rgb="FFF2F2F2"/>
        <bgColor indexed="64"/>
      </patternFill>
    </fill>
    <fill>
      <patternFill patternType="solid">
        <fgColor rgb="FFA5A5A5"/>
        <bgColor indexed="64"/>
      </patternFill>
    </fill>
    <fill>
      <patternFill patternType="solid">
        <fgColor theme="7" tint="0.399975585192419"/>
        <bgColor indexed="64"/>
      </patternFill>
    </fill>
    <fill>
      <patternFill patternType="solid">
        <fgColor theme="6"/>
        <bgColor indexed="64"/>
      </patternFill>
    </fill>
    <fill>
      <patternFill patternType="solid">
        <fgColor theme="4" tint="0.399975585192419"/>
        <bgColor indexed="64"/>
      </patternFill>
    </fill>
    <fill>
      <patternFill patternType="solid">
        <fgColor rgb="FFC6EFCE"/>
        <bgColor indexed="64"/>
      </patternFill>
    </fill>
    <fill>
      <patternFill patternType="solid">
        <fgColor theme="5"/>
        <bgColor indexed="64"/>
      </patternFill>
    </fill>
    <fill>
      <patternFill patternType="solid">
        <fgColor theme="8" tint="0.399975585192419"/>
        <bgColor indexed="64"/>
      </patternFill>
    </fill>
    <fill>
      <patternFill patternType="solid">
        <fgColor theme="8"/>
        <bgColor indexed="64"/>
      </patternFill>
    </fill>
    <fill>
      <patternFill patternType="solid">
        <fgColor theme="6" tint="0.599993896298105"/>
        <bgColor indexed="64"/>
      </patternFill>
    </fill>
    <fill>
      <patternFill patternType="solid">
        <fgColor rgb="FFFFCC99"/>
        <bgColor indexed="64"/>
      </patternFill>
    </fill>
    <fill>
      <patternFill patternType="solid">
        <fgColor theme="7" tint="0.799981688894314"/>
        <bgColor indexed="64"/>
      </patternFill>
    </fill>
    <fill>
      <patternFill patternType="solid">
        <fgColor rgb="FFFFC7CE"/>
        <bgColor indexed="64"/>
      </patternFill>
    </fill>
    <fill>
      <patternFill patternType="solid">
        <fgColor theme="7"/>
        <bgColor indexed="64"/>
      </patternFill>
    </fill>
    <fill>
      <patternFill patternType="solid">
        <fgColor theme="7" tint="0.599993896298105"/>
        <bgColor indexed="64"/>
      </patternFill>
    </fill>
    <fill>
      <patternFill patternType="solid">
        <fgColor theme="9" tint="0.399975585192419"/>
        <bgColor indexed="64"/>
      </patternFill>
    </fill>
  </fills>
  <borders count="20">
    <border>
      <left/>
      <right/>
      <top/>
      <bottom/>
      <diagonal/>
    </border>
    <border>
      <left style="medium">
        <color auto="1"/>
      </left>
      <right/>
      <top style="medium">
        <color auto="1"/>
      </top>
      <bottom/>
      <diagonal/>
    </border>
    <border>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style="medium">
        <color auto="1"/>
      </top>
      <bottom/>
      <diagonal/>
    </border>
    <border>
      <left/>
      <right style="medium">
        <color auto="1"/>
      </right>
      <top/>
      <bottom style="medium">
        <color auto="1"/>
      </bottom>
      <diagonal/>
    </border>
    <border>
      <left style="thin">
        <color theme="0"/>
      </left>
      <right style="thin">
        <color theme="0"/>
      </right>
      <top style="thin">
        <color theme="0"/>
      </top>
      <bottom style="medium">
        <color rgb="FF7030A0"/>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left>
      <right style="thin">
        <color theme="0"/>
      </right>
      <top/>
      <bottom style="medium">
        <color rgb="FF7030A0"/>
      </bottom>
      <diagonal/>
    </border>
    <border>
      <left style="thin">
        <color theme="0"/>
      </left>
      <right/>
      <top/>
      <bottom style="medium">
        <color rgb="FF7030A0"/>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s>
  <cellStyleXfs count="50">
    <xf numFmtId="0" fontId="0" fillId="0" borderId="0"/>
    <xf numFmtId="9" fontId="26" fillId="0" borderId="0" applyFill="0" applyBorder="0" applyProtection="0">
      <alignment horizontal="center" vertical="center"/>
    </xf>
    <xf numFmtId="0" fontId="11" fillId="35" borderId="0" applyNumberFormat="0" applyBorder="0" applyAlignment="0" applyProtection="0">
      <alignment vertical="center"/>
    </xf>
    <xf numFmtId="0" fontId="10" fillId="31" borderId="0" applyNumberFormat="0" applyBorder="0" applyAlignment="0" applyProtection="0">
      <alignment vertical="center"/>
    </xf>
    <xf numFmtId="0" fontId="11" fillId="33" borderId="0" applyNumberFormat="0" applyBorder="0" applyAlignment="0" applyProtection="0">
      <alignment vertical="center"/>
    </xf>
    <xf numFmtId="0" fontId="25" fillId="30" borderId="18" applyNumberFormat="0" applyAlignment="0" applyProtection="0">
      <alignment vertical="center"/>
    </xf>
    <xf numFmtId="0" fontId="10" fillId="29" borderId="0" applyNumberFormat="0" applyBorder="0" applyAlignment="0" applyProtection="0">
      <alignment vertical="center"/>
    </xf>
    <xf numFmtId="0" fontId="10" fillId="13" borderId="0" applyNumberFormat="0" applyBorder="0" applyAlignment="0" applyProtection="0">
      <alignment vertical="center"/>
    </xf>
    <xf numFmtId="44" fontId="0" fillId="0" borderId="0" applyFont="0" applyFill="0" applyBorder="0" applyAlignment="0" applyProtection="0">
      <alignment vertical="center"/>
    </xf>
    <xf numFmtId="0" fontId="11" fillId="23" borderId="0" applyNumberFormat="0" applyBorder="0" applyAlignment="0" applyProtection="0">
      <alignment vertical="center"/>
    </xf>
    <xf numFmtId="9" fontId="0" fillId="0" borderId="0" applyFont="0" applyFill="0" applyBorder="0" applyAlignment="0" applyProtection="0">
      <alignment vertical="center"/>
    </xf>
    <xf numFmtId="0" fontId="11" fillId="9" borderId="0" applyNumberFormat="0" applyBorder="0" applyAlignment="0" applyProtection="0">
      <alignment vertical="center"/>
    </xf>
    <xf numFmtId="0" fontId="11" fillId="27" borderId="0" applyNumberFormat="0" applyBorder="0" applyAlignment="0" applyProtection="0">
      <alignment vertical="center"/>
    </xf>
    <xf numFmtId="0" fontId="11" fillId="26" borderId="0" applyNumberFormat="0" applyBorder="0" applyAlignment="0" applyProtection="0">
      <alignment vertical="center"/>
    </xf>
    <xf numFmtId="0" fontId="11" fillId="24" borderId="0" applyNumberFormat="0" applyBorder="0" applyAlignment="0" applyProtection="0">
      <alignment vertical="center"/>
    </xf>
    <xf numFmtId="0" fontId="11" fillId="22" borderId="0" applyNumberFormat="0" applyBorder="0" applyAlignment="0" applyProtection="0">
      <alignment vertical="center"/>
    </xf>
    <xf numFmtId="0" fontId="24" fillId="20" borderId="18" applyNumberFormat="0" applyAlignment="0" applyProtection="0">
      <alignment vertical="center"/>
    </xf>
    <xf numFmtId="0" fontId="11" fillId="19" borderId="0" applyNumberFormat="0" applyBorder="0" applyAlignment="0" applyProtection="0">
      <alignment vertical="center"/>
    </xf>
    <xf numFmtId="0" fontId="17" fillId="14" borderId="0" applyNumberFormat="0" applyBorder="0" applyAlignment="0" applyProtection="0">
      <alignment vertical="center"/>
    </xf>
    <xf numFmtId="0" fontId="10" fillId="18" borderId="0" applyNumberFormat="0" applyBorder="0" applyAlignment="0" applyProtection="0">
      <alignment vertical="center"/>
    </xf>
    <xf numFmtId="0" fontId="23" fillId="25" borderId="0" applyNumberFormat="0" applyBorder="0" applyAlignment="0" applyProtection="0">
      <alignment vertical="center"/>
    </xf>
    <xf numFmtId="0" fontId="10" fillId="16" borderId="0" applyNumberFormat="0" applyBorder="0" applyAlignment="0" applyProtection="0">
      <alignment vertical="center"/>
    </xf>
    <xf numFmtId="0" fontId="16" fillId="0" borderId="14" applyNumberFormat="0" applyFill="0" applyAlignment="0" applyProtection="0">
      <alignment vertical="center"/>
    </xf>
    <xf numFmtId="0" fontId="27" fillId="32" borderId="0" applyNumberFormat="0" applyBorder="0" applyAlignment="0" applyProtection="0">
      <alignment vertical="center"/>
    </xf>
    <xf numFmtId="0" fontId="20" fillId="21" borderId="16" applyNumberFormat="0" applyAlignment="0" applyProtection="0">
      <alignment vertical="center"/>
    </xf>
    <xf numFmtId="0" fontId="19" fillId="20" borderId="15" applyNumberFormat="0" applyAlignment="0" applyProtection="0">
      <alignment vertical="center"/>
    </xf>
    <xf numFmtId="0" fontId="15" fillId="0" borderId="12" applyNumberFormat="0" applyFill="0" applyAlignment="0" applyProtection="0">
      <alignment vertical="center"/>
    </xf>
    <xf numFmtId="0" fontId="28" fillId="0" borderId="0" applyNumberFormat="0" applyFill="0" applyBorder="0" applyAlignment="0" applyProtection="0">
      <alignment vertical="center"/>
    </xf>
    <xf numFmtId="0" fontId="10" fillId="11" borderId="0" applyNumberFormat="0" applyBorder="0" applyAlignment="0" applyProtection="0">
      <alignment vertical="center"/>
    </xf>
    <xf numFmtId="0" fontId="14" fillId="0" borderId="0" applyNumberFormat="0" applyFill="0" applyBorder="0" applyAlignment="0" applyProtection="0">
      <alignment vertical="center"/>
    </xf>
    <xf numFmtId="42" fontId="0" fillId="0" borderId="0" applyFont="0" applyFill="0" applyBorder="0" applyAlignment="0" applyProtection="0">
      <alignment vertical="center"/>
    </xf>
    <xf numFmtId="0" fontId="10" fillId="34" borderId="0" applyNumberFormat="0" applyBorder="0" applyAlignment="0" applyProtection="0">
      <alignment vertical="center"/>
    </xf>
    <xf numFmtId="43" fontId="0" fillId="0" borderId="0" applyFont="0" applyFill="0" applyBorder="0" applyAlignment="0" applyProtection="0">
      <alignment vertical="center"/>
    </xf>
    <xf numFmtId="0" fontId="12"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0" fillId="5" borderId="0" applyNumberFormat="0" applyBorder="0" applyAlignment="0" applyProtection="0">
      <alignment vertical="center"/>
    </xf>
    <xf numFmtId="0" fontId="22" fillId="0" borderId="0" applyNumberFormat="0" applyFill="0" applyBorder="0" applyAlignment="0" applyProtection="0">
      <alignment vertical="center"/>
    </xf>
    <xf numFmtId="0" fontId="11" fillId="17" borderId="0" applyNumberFormat="0" applyBorder="0" applyAlignment="0" applyProtection="0">
      <alignment vertical="center"/>
    </xf>
    <xf numFmtId="0" fontId="0" fillId="12" borderId="13" applyNumberFormat="0" applyFont="0" applyAlignment="0" applyProtection="0">
      <alignment vertical="center"/>
    </xf>
    <xf numFmtId="0" fontId="10" fillId="10" borderId="0" applyNumberFormat="0" applyBorder="0" applyAlignment="0" applyProtection="0">
      <alignment vertical="center"/>
    </xf>
    <xf numFmtId="0" fontId="11" fillId="28" borderId="0" applyNumberFormat="0" applyBorder="0" applyAlignment="0" applyProtection="0">
      <alignment vertical="center"/>
    </xf>
    <xf numFmtId="0" fontId="10" fillId="15" borderId="0" applyNumberFormat="0" applyBorder="0" applyAlignment="0" applyProtection="0">
      <alignment vertical="center"/>
    </xf>
    <xf numFmtId="0" fontId="13" fillId="0" borderId="0" applyNumberFormat="0" applyFill="0" applyBorder="0" applyAlignment="0" applyProtection="0">
      <alignment vertical="center"/>
    </xf>
    <xf numFmtId="41" fontId="0" fillId="0" borderId="0" applyFont="0" applyFill="0" applyBorder="0" applyAlignment="0" applyProtection="0">
      <alignment vertical="center"/>
    </xf>
    <xf numFmtId="0" fontId="9" fillId="0" borderId="12" applyNumberFormat="0" applyFill="0" applyAlignment="0" applyProtection="0">
      <alignment vertical="center"/>
    </xf>
    <xf numFmtId="0" fontId="10" fillId="7" borderId="0" applyNumberFormat="0" applyBorder="0" applyAlignment="0" applyProtection="0">
      <alignment vertical="center"/>
    </xf>
    <xf numFmtId="0" fontId="14" fillId="0" borderId="19" applyNumberFormat="0" applyFill="0" applyAlignment="0" applyProtection="0">
      <alignment vertical="center"/>
    </xf>
    <xf numFmtId="0" fontId="11" fillId="6" borderId="0" applyNumberFormat="0" applyBorder="0" applyAlignment="0" applyProtection="0">
      <alignment vertical="center"/>
    </xf>
    <xf numFmtId="0" fontId="10" fillId="8" borderId="0" applyNumberFormat="0" applyBorder="0" applyAlignment="0" applyProtection="0">
      <alignment vertical="center"/>
    </xf>
    <xf numFmtId="0" fontId="21" fillId="0" borderId="17" applyNumberFormat="0" applyFill="0" applyAlignment="0" applyProtection="0">
      <alignment vertical="center"/>
    </xf>
  </cellStyleXfs>
  <cellXfs count="26">
    <xf numFmtId="0" fontId="0" fillId="0" borderId="0" xfId="0"/>
    <xf numFmtId="0" fontId="0" fillId="2" borderId="0" xfId="0" applyFill="1"/>
    <xf numFmtId="0" fontId="1" fillId="3" borderId="1" xfId="0" applyFont="1" applyFill="1" applyBorder="1" applyAlignment="1">
      <alignment horizontal="left" vertical="center" wrapText="1"/>
    </xf>
    <xf numFmtId="0" fontId="1" fillId="3" borderId="2" xfId="0" applyFont="1" applyFill="1" applyBorder="1" applyAlignment="1">
      <alignment horizontal="left" vertical="center"/>
    </xf>
    <xf numFmtId="0" fontId="2" fillId="4" borderId="3" xfId="0" applyFont="1" applyFill="1" applyBorder="1" applyAlignment="1">
      <alignment horizontal="left" vertical="center" wrapText="1"/>
    </xf>
    <xf numFmtId="0" fontId="3" fillId="4" borderId="4" xfId="0" applyFont="1" applyFill="1" applyBorder="1" applyAlignment="1">
      <alignment horizontal="left" vertical="center" wrapText="1"/>
    </xf>
    <xf numFmtId="0" fontId="1" fillId="3" borderId="5" xfId="0" applyFont="1" applyFill="1" applyBorder="1" applyAlignment="1">
      <alignment horizontal="left" vertical="center"/>
    </xf>
    <xf numFmtId="0" fontId="3" fillId="4" borderId="6" xfId="0" applyFont="1" applyFill="1" applyBorder="1" applyAlignment="1">
      <alignment horizontal="left" vertical="center" wrapText="1"/>
    </xf>
    <xf numFmtId="177" fontId="0" fillId="0" borderId="0" xfId="0" applyNumberFormat="1"/>
    <xf numFmtId="0" fontId="4" fillId="0" borderId="0" xfId="0" applyFont="1" applyBorder="1" applyAlignment="1">
      <alignment horizontal="center" vertical="top" wrapText="1"/>
    </xf>
    <xf numFmtId="0" fontId="5" fillId="0" borderId="0" xfId="0" applyFont="1" applyBorder="1" applyAlignment="1">
      <alignment horizontal="center" vertical="top" wrapText="1"/>
    </xf>
    <xf numFmtId="14" fontId="6" fillId="4" borderId="7" xfId="0" applyNumberFormat="1" applyFont="1" applyFill="1" applyBorder="1" applyAlignment="1">
      <alignment horizontal="center" vertical="center"/>
    </xf>
    <xf numFmtId="0" fontId="7" fillId="4" borderId="8" xfId="0" applyFont="1" applyFill="1" applyBorder="1" applyAlignment="1">
      <alignment horizontal="center" vertical="center"/>
    </xf>
    <xf numFmtId="178" fontId="7" fillId="4" borderId="8" xfId="0" applyNumberFormat="1" applyFont="1" applyFill="1" applyBorder="1" applyAlignment="1">
      <alignment horizontal="center" vertical="center"/>
    </xf>
    <xf numFmtId="0" fontId="7" fillId="4" borderId="9" xfId="0" applyFont="1" applyFill="1" applyBorder="1" applyAlignment="1">
      <alignment horizontal="center" vertical="center"/>
    </xf>
    <xf numFmtId="176" fontId="7" fillId="4" borderId="9" xfId="0" applyNumberFormat="1" applyFont="1" applyFill="1" applyBorder="1" applyAlignment="1">
      <alignment horizontal="center" vertical="center"/>
    </xf>
    <xf numFmtId="178" fontId="7" fillId="4" borderId="9" xfId="0" applyNumberFormat="1" applyFont="1" applyFill="1" applyBorder="1" applyAlignment="1">
      <alignment horizontal="center" vertical="center"/>
    </xf>
    <xf numFmtId="14" fontId="6" fillId="4" borderId="10" xfId="0" applyNumberFormat="1" applyFont="1" applyFill="1" applyBorder="1" applyAlignment="1">
      <alignment horizontal="center" vertical="center"/>
    </xf>
    <xf numFmtId="177" fontId="6" fillId="4" borderId="10" xfId="0" applyNumberFormat="1" applyFont="1" applyFill="1" applyBorder="1" applyAlignment="1">
      <alignment horizontal="center" vertical="center"/>
    </xf>
    <xf numFmtId="0" fontId="7" fillId="4" borderId="8" xfId="0" applyNumberFormat="1" applyFont="1" applyFill="1" applyBorder="1" applyAlignment="1">
      <alignment horizontal="center" vertical="center"/>
    </xf>
    <xf numFmtId="177" fontId="7" fillId="4" borderId="8" xfId="0" applyNumberFormat="1" applyFont="1" applyFill="1" applyBorder="1" applyAlignment="1">
      <alignment horizontal="center" vertical="center"/>
    </xf>
    <xf numFmtId="0" fontId="7" fillId="4" borderId="9" xfId="0" applyNumberFormat="1" applyFont="1" applyFill="1" applyBorder="1" applyAlignment="1">
      <alignment horizontal="center" vertical="center"/>
    </xf>
    <xf numFmtId="9" fontId="7" fillId="4" borderId="9" xfId="0" applyNumberFormat="1" applyFont="1" applyFill="1" applyBorder="1" applyAlignment="1">
      <alignment horizontal="center" vertical="center"/>
    </xf>
    <xf numFmtId="177" fontId="7" fillId="4" borderId="9" xfId="0" applyNumberFormat="1" applyFont="1" applyFill="1" applyBorder="1" applyAlignment="1">
      <alignment horizontal="center" vertical="center"/>
    </xf>
    <xf numFmtId="14" fontId="6" fillId="4" borderId="11" xfId="0" applyNumberFormat="1" applyFont="1" applyFill="1" applyBorder="1" applyAlignment="1">
      <alignment horizontal="center" vertical="center"/>
    </xf>
    <xf numFmtId="0" fontId="8" fillId="0" borderId="0" xfId="0" applyFont="1"/>
  </cellXfs>
  <cellStyles count="50">
    <cellStyle name="常规" xfId="0" builtinId="0"/>
    <cellStyle name="完成百分比" xfId="1"/>
    <cellStyle name="60% - 强调文字颜色 6" xfId="2" builtinId="52"/>
    <cellStyle name="20% - 强调文字颜色 4" xfId="3" builtinId="42"/>
    <cellStyle name="强调文字颜色 4" xfId="4" builtinId="41"/>
    <cellStyle name="输入" xfId="5" builtinId="20"/>
    <cellStyle name="40% - 强调文字颜色 3" xfId="6" builtinId="39"/>
    <cellStyle name="20% - 强调文字颜色 3" xfId="7" builtinId="38"/>
    <cellStyle name="货币" xfId="8" builtinId="4"/>
    <cellStyle name="强调文字颜色 3" xfId="9" builtinId="37"/>
    <cellStyle name="百分比" xfId="10" builtinId="5"/>
    <cellStyle name="60% - 强调文字颜色 2" xfId="11" builtinId="36"/>
    <cellStyle name="60% - 强调文字颜色 5" xfId="12" builtinId="48"/>
    <cellStyle name="强调文字颜色 2" xfId="13" builtinId="33"/>
    <cellStyle name="60% - 强调文字颜色 1" xfId="14" builtinId="32"/>
    <cellStyle name="60% - 强调文字颜色 4" xfId="15" builtinId="44"/>
    <cellStyle name="计算" xfId="16" builtinId="22"/>
    <cellStyle name="强调文字颜色 1" xfId="17" builtinId="29"/>
    <cellStyle name="适中" xfId="18" builtinId="28"/>
    <cellStyle name="20% - 强调文字颜色 5" xfId="19" builtinId="46"/>
    <cellStyle name="好" xfId="20" builtinId="26"/>
    <cellStyle name="20% - 强调文字颜色 1" xfId="21" builtinId="30"/>
    <cellStyle name="汇总" xfId="22" builtinId="25"/>
    <cellStyle name="差" xfId="23" builtinId="27"/>
    <cellStyle name="检查单元格" xfId="24" builtinId="23"/>
    <cellStyle name="输出" xfId="25" builtinId="21"/>
    <cellStyle name="标题 1" xfId="26" builtinId="16"/>
    <cellStyle name="解释性文本" xfId="27" builtinId="53"/>
    <cellStyle name="20% - 强调文字颜色 2" xfId="28" builtinId="34"/>
    <cellStyle name="标题 4" xfId="29" builtinId="19"/>
    <cellStyle name="货币[0]" xfId="30" builtinId="7"/>
    <cellStyle name="40% - 强调文字颜色 4" xfId="31" builtinId="43"/>
    <cellStyle name="千位分隔" xfId="32" builtinId="3"/>
    <cellStyle name="已访问的超链接" xfId="33" builtinId="9"/>
    <cellStyle name="标题" xfId="34" builtinId="15"/>
    <cellStyle name="40% - 强调文字颜色 2" xfId="35" builtinId="35"/>
    <cellStyle name="警告文本" xfId="36" builtinId="11"/>
    <cellStyle name="60% - 强调文字颜色 3" xfId="37" builtinId="40"/>
    <cellStyle name="注释" xfId="38" builtinId="10"/>
    <cellStyle name="20% - 强调文字颜色 6" xfId="39" builtinId="50"/>
    <cellStyle name="强调文字颜色 5" xfId="40" builtinId="45"/>
    <cellStyle name="40% - 强调文字颜色 6" xfId="41" builtinId="51"/>
    <cellStyle name="超链接" xfId="42" builtinId="8"/>
    <cellStyle name="千位分隔[0]" xfId="43" builtinId="6"/>
    <cellStyle name="标题 2" xfId="44" builtinId="17"/>
    <cellStyle name="40% - 强调文字颜色 5" xfId="45" builtinId="47"/>
    <cellStyle name="标题 3" xfId="46" builtinId="18"/>
    <cellStyle name="强调文字颜色 6" xfId="47" builtinId="49"/>
    <cellStyle name="40% - 强调文字颜色 1" xfId="48" builtinId="31"/>
    <cellStyle name="链接单元格" xfId="49" builtinId="24"/>
  </cellStyles>
  <dxfs count="1">
    <dxf>
      <font>
        <color rgb="FF9C0006"/>
      </font>
      <fill>
        <patternFill patternType="solid">
          <bgColor rgb="FFFFC7CE"/>
        </patternFill>
      </fill>
    </dxf>
  </dxfs>
  <tableStyles count="0" defaultTableStyle="TableStyleMedium2" defaultPivotStyle="PivotStyleMedium9"/>
  <colors>
    <mruColors>
      <color rgb="00735773"/>
      <color rgb="00655DD1"/>
      <color rgb="00E3B04B"/>
      <color rgb="00F1D6A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波形">
      <a:dk1>
        <a:sysClr val="windowText" lastClr="000000"/>
      </a:dk1>
      <a:lt1>
        <a:sysClr val="window" lastClr="FFFFFF"/>
      </a:lt1>
      <a:dk2>
        <a:srgbClr val="073E87"/>
      </a:dk2>
      <a:lt2>
        <a:srgbClr val="C6E7FC"/>
      </a:lt2>
      <a:accent1>
        <a:srgbClr val="31B6FD"/>
      </a:accent1>
      <a:accent2>
        <a:srgbClr val="4584D3"/>
      </a:accent2>
      <a:accent3>
        <a:srgbClr val="5BD078"/>
      </a:accent3>
      <a:accent4>
        <a:srgbClr val="A5D028"/>
      </a:accent4>
      <a:accent5>
        <a:srgbClr val="F5C040"/>
      </a:accent5>
      <a:accent6>
        <a:srgbClr val="05E0DB"/>
      </a:accent6>
      <a:hlink>
        <a:srgbClr val="0080FF"/>
      </a:hlink>
      <a:folHlink>
        <a:srgbClr val="5EAEFF"/>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XEZ57"/>
  <sheetViews>
    <sheetView showGridLines="0" tabSelected="1" zoomScale="80" zoomScaleNormal="80" topLeftCell="A33" workbookViewId="0">
      <selection activeCell="I62" sqref="I62"/>
    </sheetView>
  </sheetViews>
  <sheetFormatPr defaultColWidth="9" defaultRowHeight="16.8"/>
  <cols>
    <col min="1" max="1" width="6.41346153846154" customWidth="1"/>
    <col min="2" max="2" width="25.4615384615385" customWidth="1"/>
    <col min="3" max="3" width="20.2980769230769" customWidth="1"/>
    <col min="4" max="4" width="26.8846153846154" customWidth="1"/>
    <col min="5" max="5" width="9.23076923076923"/>
    <col min="6" max="6" width="24.2115384615385" customWidth="1"/>
    <col min="7" max="7" width="12.8173076923077" customWidth="1"/>
    <col min="8" max="8" width="17.625" style="8" customWidth="1"/>
    <col min="9" max="9" width="17.2692307692308" customWidth="1"/>
    <col min="10" max="10" width="30.4423076923077" customWidth="1"/>
    <col min="11" max="11" width="2.54807692307692" customWidth="1"/>
    <col min="12" max="12" width="3.99038461538462" hidden="1" customWidth="1"/>
    <col min="13" max="17" width="9" hidden="1" customWidth="1"/>
    <col min="18" max="18" width="15.8653846153846" hidden="1" customWidth="1"/>
  </cols>
  <sheetData>
    <row r="1" ht="18" customHeight="1" spans="1:18">
      <c r="A1" s="9" t="s">
        <v>0</v>
      </c>
      <c r="B1" s="10"/>
      <c r="C1" s="10"/>
      <c r="D1" s="10"/>
      <c r="E1" s="10"/>
      <c r="F1" s="10"/>
      <c r="G1" s="10"/>
      <c r="H1" s="10"/>
      <c r="I1" s="10"/>
      <c r="J1" s="10"/>
      <c r="K1" s="10"/>
      <c r="L1" s="10"/>
      <c r="M1" s="10"/>
      <c r="N1" s="10"/>
      <c r="O1" s="10"/>
      <c r="P1" s="10"/>
      <c r="Q1" s="10"/>
      <c r="R1" s="10"/>
    </row>
    <row r="2" ht="18" customHeight="1" spans="1:18">
      <c r="A2" s="10"/>
      <c r="B2" s="10"/>
      <c r="C2" s="10"/>
      <c r="D2" s="10"/>
      <c r="E2" s="10"/>
      <c r="F2" s="10"/>
      <c r="G2" s="10"/>
      <c r="H2" s="10"/>
      <c r="I2" s="10"/>
      <c r="J2" s="10"/>
      <c r="K2" s="10"/>
      <c r="L2" s="10"/>
      <c r="M2" s="10"/>
      <c r="N2" s="10"/>
      <c r="O2" s="10"/>
      <c r="P2" s="10"/>
      <c r="Q2" s="10"/>
      <c r="R2" s="10"/>
    </row>
    <row r="3" ht="18" customHeight="1" spans="1:18">
      <c r="A3" s="10"/>
      <c r="B3" s="10"/>
      <c r="C3" s="10"/>
      <c r="D3" s="10"/>
      <c r="E3" s="10"/>
      <c r="F3" s="10"/>
      <c r="G3" s="10"/>
      <c r="H3" s="10"/>
      <c r="I3" s="10"/>
      <c r="J3" s="10"/>
      <c r="K3" s="10"/>
      <c r="L3" s="10"/>
      <c r="M3" s="10"/>
      <c r="N3" s="10"/>
      <c r="O3" s="10"/>
      <c r="P3" s="10"/>
      <c r="Q3" s="10"/>
      <c r="R3" s="10"/>
    </row>
    <row r="4" ht="18" customHeight="1" spans="1:18">
      <c r="A4" s="10"/>
      <c r="B4" s="10"/>
      <c r="C4" s="10"/>
      <c r="D4" s="10"/>
      <c r="E4" s="10"/>
      <c r="F4" s="10"/>
      <c r="G4" s="10"/>
      <c r="H4" s="10"/>
      <c r="I4" s="10"/>
      <c r="J4" s="10"/>
      <c r="K4" s="10"/>
      <c r="L4" s="10"/>
      <c r="M4" s="10"/>
      <c r="N4" s="10"/>
      <c r="O4" s="10"/>
      <c r="P4" s="10"/>
      <c r="Q4" s="10"/>
      <c r="R4" s="10"/>
    </row>
    <row r="5" ht="28.5" customHeight="1" spans="1:10">
      <c r="A5" s="11" t="s">
        <v>1</v>
      </c>
      <c r="B5" s="11" t="s">
        <v>2</v>
      </c>
      <c r="C5" s="11" t="s">
        <v>3</v>
      </c>
      <c r="D5" s="11" t="s">
        <v>4</v>
      </c>
      <c r="E5" s="11" t="s">
        <v>5</v>
      </c>
      <c r="F5" s="11" t="s">
        <v>6</v>
      </c>
      <c r="G5" s="17" t="s">
        <v>7</v>
      </c>
      <c r="H5" s="18" t="s">
        <v>8</v>
      </c>
      <c r="I5" s="24" t="s">
        <v>9</v>
      </c>
      <c r="J5" s="24" t="s">
        <v>10</v>
      </c>
    </row>
    <row r="6" ht="23.25" customHeight="1" spans="1:10">
      <c r="A6" s="12">
        <v>3.1</v>
      </c>
      <c r="B6" s="12" t="s">
        <v>11</v>
      </c>
      <c r="C6" s="12" t="s">
        <v>12</v>
      </c>
      <c r="D6" s="13">
        <v>44984</v>
      </c>
      <c r="E6" s="19">
        <f>F6-D6</f>
        <v>6</v>
      </c>
      <c r="F6" s="13">
        <v>44990</v>
      </c>
      <c r="G6" s="19"/>
      <c r="H6" s="20"/>
      <c r="I6" s="19"/>
      <c r="J6" s="19"/>
    </row>
    <row r="7" ht="23.25" customHeight="1" spans="1:10">
      <c r="A7" s="14"/>
      <c r="B7" s="14"/>
      <c r="C7" s="14" t="s">
        <v>13</v>
      </c>
      <c r="D7" s="15">
        <v>44984</v>
      </c>
      <c r="E7" s="21">
        <f t="shared" ref="E7:E54" si="0">F7-D7</f>
        <v>6</v>
      </c>
      <c r="F7" s="15">
        <v>44990</v>
      </c>
      <c r="G7" s="22">
        <v>1</v>
      </c>
      <c r="H7" s="23">
        <f>E7*G7</f>
        <v>6</v>
      </c>
      <c r="I7" s="21" t="s">
        <v>14</v>
      </c>
      <c r="J7" s="21"/>
    </row>
    <row r="8" ht="23.25" customHeight="1" spans="1:10">
      <c r="A8" s="14">
        <v>4.1</v>
      </c>
      <c r="B8" s="14" t="s">
        <v>15</v>
      </c>
      <c r="C8" s="14" t="s">
        <v>12</v>
      </c>
      <c r="D8" s="16">
        <v>44991</v>
      </c>
      <c r="E8" s="21">
        <f t="shared" si="0"/>
        <v>6</v>
      </c>
      <c r="F8" s="16">
        <v>44997</v>
      </c>
      <c r="G8" s="21"/>
      <c r="H8" s="23"/>
      <c r="I8" s="21"/>
      <c r="J8" s="21"/>
    </row>
    <row r="9" ht="23.25" customHeight="1" spans="1:10">
      <c r="A9" s="14"/>
      <c r="B9" s="14"/>
      <c r="C9" s="14" t="s">
        <v>13</v>
      </c>
      <c r="D9" s="15">
        <v>44991</v>
      </c>
      <c r="E9" s="21">
        <f t="shared" si="0"/>
        <v>6</v>
      </c>
      <c r="F9" s="15">
        <v>44997</v>
      </c>
      <c r="G9" s="22">
        <v>1</v>
      </c>
      <c r="H9" s="23">
        <f t="shared" ref="H9:H23" si="1">E9*G9</f>
        <v>6</v>
      </c>
      <c r="I9" s="21" t="s">
        <v>14</v>
      </c>
      <c r="J9" s="21"/>
    </row>
    <row r="10" ht="23.25" customHeight="1" spans="1:10">
      <c r="A10" s="14">
        <v>5.1</v>
      </c>
      <c r="B10" s="14" t="s">
        <v>16</v>
      </c>
      <c r="C10" s="14" t="s">
        <v>12</v>
      </c>
      <c r="D10" s="16">
        <v>44998</v>
      </c>
      <c r="E10" s="21">
        <f t="shared" si="0"/>
        <v>6</v>
      </c>
      <c r="F10" s="16">
        <v>45004</v>
      </c>
      <c r="G10" s="21"/>
      <c r="H10" s="23"/>
      <c r="I10" s="21"/>
      <c r="J10" s="21"/>
    </row>
    <row r="11" ht="23.25" customHeight="1" spans="1:10">
      <c r="A11" s="14"/>
      <c r="B11" s="14"/>
      <c r="C11" s="14" t="s">
        <v>13</v>
      </c>
      <c r="D11" s="15">
        <v>44998</v>
      </c>
      <c r="E11" s="21">
        <f t="shared" si="0"/>
        <v>6</v>
      </c>
      <c r="F11" s="15">
        <v>45004</v>
      </c>
      <c r="G11" s="22">
        <v>1</v>
      </c>
      <c r="H11" s="23">
        <f t="shared" si="1"/>
        <v>6</v>
      </c>
      <c r="I11" s="21" t="s">
        <v>14</v>
      </c>
      <c r="J11" s="21"/>
    </row>
    <row r="12" ht="23.25" customHeight="1" spans="1:16380">
      <c r="A12" s="14">
        <v>6.1</v>
      </c>
      <c r="B12" s="14" t="s">
        <v>16</v>
      </c>
      <c r="C12" s="14" t="s">
        <v>12</v>
      </c>
      <c r="D12" s="16">
        <v>45005</v>
      </c>
      <c r="E12" s="21">
        <f t="shared" si="0"/>
        <v>6</v>
      </c>
      <c r="F12" s="16">
        <v>45011</v>
      </c>
      <c r="G12" s="21"/>
      <c r="H12" s="23"/>
      <c r="I12" s="21"/>
      <c r="J12" s="21"/>
      <c r="XEZ12" s="25" t="s">
        <v>17</v>
      </c>
    </row>
    <row r="13" ht="23.25" customHeight="1" spans="1:10">
      <c r="A13" s="14"/>
      <c r="B13" s="14"/>
      <c r="C13" s="14" t="s">
        <v>13</v>
      </c>
      <c r="D13" s="15">
        <v>45005</v>
      </c>
      <c r="E13" s="21">
        <f t="shared" si="0"/>
        <v>6</v>
      </c>
      <c r="F13" s="15">
        <v>45011</v>
      </c>
      <c r="G13" s="22">
        <v>1</v>
      </c>
      <c r="H13" s="23">
        <f t="shared" si="1"/>
        <v>6</v>
      </c>
      <c r="I13" s="21" t="s">
        <v>14</v>
      </c>
      <c r="J13" s="21"/>
    </row>
    <row r="14" ht="23.25" customHeight="1" spans="1:10">
      <c r="A14" s="14">
        <v>7.1</v>
      </c>
      <c r="B14" s="14" t="s">
        <v>18</v>
      </c>
      <c r="C14" s="14" t="s">
        <v>12</v>
      </c>
      <c r="D14" s="16">
        <v>45012</v>
      </c>
      <c r="E14" s="21">
        <f t="shared" si="0"/>
        <v>6</v>
      </c>
      <c r="F14" s="16">
        <v>45018</v>
      </c>
      <c r="G14" s="21"/>
      <c r="H14" s="23"/>
      <c r="I14" s="21"/>
      <c r="J14" s="21"/>
    </row>
    <row r="15" ht="23.25" customHeight="1" spans="1:10">
      <c r="A15" s="14"/>
      <c r="B15" s="14"/>
      <c r="C15" s="14" t="s">
        <v>13</v>
      </c>
      <c r="D15" s="15">
        <v>45012</v>
      </c>
      <c r="E15" s="21">
        <f t="shared" si="0"/>
        <v>6</v>
      </c>
      <c r="F15" s="15">
        <v>45018</v>
      </c>
      <c r="G15" s="22">
        <v>1</v>
      </c>
      <c r="H15" s="23">
        <f t="shared" si="1"/>
        <v>6</v>
      </c>
      <c r="I15" s="21" t="s">
        <v>14</v>
      </c>
      <c r="J15" s="21"/>
    </row>
    <row r="16" ht="23.25" customHeight="1" spans="1:10">
      <c r="A16" s="14">
        <v>7.2</v>
      </c>
      <c r="B16" s="14" t="s">
        <v>19</v>
      </c>
      <c r="C16" s="14" t="s">
        <v>12</v>
      </c>
      <c r="D16" s="16">
        <v>45012</v>
      </c>
      <c r="E16" s="21">
        <f t="shared" si="0"/>
        <v>6</v>
      </c>
      <c r="F16" s="16">
        <v>45018</v>
      </c>
      <c r="G16" s="21"/>
      <c r="H16" s="23"/>
      <c r="I16" s="21" t="s">
        <v>20</v>
      </c>
      <c r="J16" s="21"/>
    </row>
    <row r="17" ht="23.25" customHeight="1" spans="1:10">
      <c r="A17" s="14"/>
      <c r="B17" s="14"/>
      <c r="C17" s="14" t="s">
        <v>13</v>
      </c>
      <c r="D17" s="15">
        <v>45015</v>
      </c>
      <c r="E17" s="21">
        <f t="shared" si="0"/>
        <v>6</v>
      </c>
      <c r="F17" s="15">
        <v>45021</v>
      </c>
      <c r="G17" s="22">
        <v>1</v>
      </c>
      <c r="H17" s="23">
        <f>E17*G17</f>
        <v>6</v>
      </c>
      <c r="I17" s="21" t="s">
        <v>14</v>
      </c>
      <c r="J17" s="21"/>
    </row>
    <row r="18" ht="23.25" customHeight="1" spans="1:10">
      <c r="A18" s="14">
        <v>8.1</v>
      </c>
      <c r="B18" s="14" t="s">
        <v>21</v>
      </c>
      <c r="C18" s="14" t="s">
        <v>12</v>
      </c>
      <c r="D18" s="16">
        <v>45019</v>
      </c>
      <c r="E18" s="21">
        <f t="shared" si="0"/>
        <v>6</v>
      </c>
      <c r="F18" s="16">
        <v>45025</v>
      </c>
      <c r="G18" s="22"/>
      <c r="H18" s="23"/>
      <c r="I18" s="21"/>
      <c r="J18" s="21"/>
    </row>
    <row r="19" ht="23.25" customHeight="1" spans="1:10">
      <c r="A19" s="14"/>
      <c r="B19" s="14"/>
      <c r="C19" s="14" t="s">
        <v>13</v>
      </c>
      <c r="D19" s="15">
        <v>45019</v>
      </c>
      <c r="E19" s="21">
        <f t="shared" si="0"/>
        <v>6</v>
      </c>
      <c r="F19" s="16">
        <v>45025</v>
      </c>
      <c r="G19" s="22">
        <v>1</v>
      </c>
      <c r="H19" s="23">
        <f t="shared" si="1"/>
        <v>6</v>
      </c>
      <c r="I19" s="21" t="s">
        <v>14</v>
      </c>
      <c r="J19" s="21"/>
    </row>
    <row r="20" ht="23.25" customHeight="1" spans="1:10">
      <c r="A20" s="14">
        <v>8.2</v>
      </c>
      <c r="B20" s="14" t="s">
        <v>22</v>
      </c>
      <c r="C20" s="14" t="s">
        <v>12</v>
      </c>
      <c r="D20" s="16">
        <v>45019</v>
      </c>
      <c r="E20" s="21">
        <f t="shared" si="0"/>
        <v>6</v>
      </c>
      <c r="F20" s="16">
        <v>45025</v>
      </c>
      <c r="G20" s="21"/>
      <c r="H20" s="23"/>
      <c r="I20" s="21" t="s">
        <v>20</v>
      </c>
      <c r="J20" s="21"/>
    </row>
    <row r="21" ht="23.25" customHeight="1" spans="1:10">
      <c r="A21" s="14"/>
      <c r="B21" s="14"/>
      <c r="C21" s="14" t="s">
        <v>13</v>
      </c>
      <c r="D21" s="15">
        <v>45019</v>
      </c>
      <c r="E21" s="21">
        <f t="shared" si="0"/>
        <v>12</v>
      </c>
      <c r="F21" s="15">
        <v>45031</v>
      </c>
      <c r="G21" s="22">
        <v>1</v>
      </c>
      <c r="H21" s="23">
        <f t="shared" si="1"/>
        <v>12</v>
      </c>
      <c r="I21" s="21" t="s">
        <v>14</v>
      </c>
      <c r="J21" s="21"/>
    </row>
    <row r="22" ht="23.25" customHeight="1" spans="1:10">
      <c r="A22" s="14">
        <v>9.1</v>
      </c>
      <c r="B22" s="14" t="s">
        <v>23</v>
      </c>
      <c r="C22" s="14" t="s">
        <v>12</v>
      </c>
      <c r="D22" s="16">
        <v>45026</v>
      </c>
      <c r="E22" s="21">
        <f t="shared" si="0"/>
        <v>6</v>
      </c>
      <c r="F22" s="16">
        <v>45032</v>
      </c>
      <c r="G22" s="21"/>
      <c r="H22" s="23"/>
      <c r="I22" s="21"/>
      <c r="J22" s="21"/>
    </row>
    <row r="23" ht="23.25" customHeight="1" spans="1:10">
      <c r="A23" s="14"/>
      <c r="B23" s="14"/>
      <c r="C23" s="14" t="s">
        <v>13</v>
      </c>
      <c r="D23" s="16">
        <v>45026</v>
      </c>
      <c r="E23" s="21">
        <f t="shared" si="0"/>
        <v>6</v>
      </c>
      <c r="F23" s="16">
        <v>45032</v>
      </c>
      <c r="G23" s="22">
        <v>1</v>
      </c>
      <c r="H23" s="23">
        <f t="shared" si="1"/>
        <v>6</v>
      </c>
      <c r="I23" s="21" t="s">
        <v>14</v>
      </c>
      <c r="J23" s="21"/>
    </row>
    <row r="24" ht="21" customHeight="1" spans="1:10">
      <c r="A24" s="14">
        <v>9.2</v>
      </c>
      <c r="B24" s="14" t="s">
        <v>24</v>
      </c>
      <c r="C24" s="14" t="s">
        <v>12</v>
      </c>
      <c r="D24" s="16">
        <v>45026</v>
      </c>
      <c r="E24" s="21">
        <f t="shared" si="0"/>
        <v>6</v>
      </c>
      <c r="F24" s="16">
        <v>45032</v>
      </c>
      <c r="G24" s="21"/>
      <c r="H24" s="23"/>
      <c r="I24" s="21"/>
      <c r="J24" s="21"/>
    </row>
    <row r="25" ht="22" customHeight="1" spans="1:10">
      <c r="A25" s="14"/>
      <c r="B25" s="14"/>
      <c r="C25" s="14" t="s">
        <v>13</v>
      </c>
      <c r="D25" s="16">
        <v>45026</v>
      </c>
      <c r="E25" s="21">
        <f t="shared" si="0"/>
        <v>6</v>
      </c>
      <c r="F25" s="16">
        <v>45032</v>
      </c>
      <c r="G25" s="22">
        <v>1</v>
      </c>
      <c r="H25" s="23">
        <f>E25*G25</f>
        <v>6</v>
      </c>
      <c r="I25" s="21" t="s">
        <v>14</v>
      </c>
      <c r="J25" s="21"/>
    </row>
    <row r="26" ht="24" customHeight="1" spans="1:10">
      <c r="A26" s="14">
        <v>9.3</v>
      </c>
      <c r="B26" s="14" t="s">
        <v>25</v>
      </c>
      <c r="C26" s="14" t="s">
        <v>12</v>
      </c>
      <c r="D26" s="16">
        <v>45026</v>
      </c>
      <c r="E26" s="21">
        <f t="shared" si="0"/>
        <v>6</v>
      </c>
      <c r="F26" s="16">
        <v>45032</v>
      </c>
      <c r="G26" s="21"/>
      <c r="H26" s="23"/>
      <c r="I26" s="21"/>
      <c r="J26" s="21"/>
    </row>
    <row r="27" ht="25" customHeight="1" spans="1:10">
      <c r="A27" s="14"/>
      <c r="B27" s="14"/>
      <c r="C27" s="14" t="s">
        <v>13</v>
      </c>
      <c r="D27" s="16">
        <v>45026</v>
      </c>
      <c r="E27" s="21">
        <f t="shared" si="0"/>
        <v>6</v>
      </c>
      <c r="F27" s="16">
        <v>45032</v>
      </c>
      <c r="G27" s="22">
        <v>1</v>
      </c>
      <c r="H27" s="23">
        <f>E27*G27</f>
        <v>6</v>
      </c>
      <c r="I27" s="21" t="s">
        <v>14</v>
      </c>
      <c r="J27" s="21"/>
    </row>
    <row r="28" ht="21" customHeight="1" spans="1:10">
      <c r="A28" s="14">
        <v>10.1</v>
      </c>
      <c r="B28" s="14" t="s">
        <v>26</v>
      </c>
      <c r="C28" s="14" t="s">
        <v>12</v>
      </c>
      <c r="D28" s="16">
        <v>45033</v>
      </c>
      <c r="E28" s="21">
        <f t="shared" si="0"/>
        <v>6</v>
      </c>
      <c r="F28" s="16">
        <v>45039</v>
      </c>
      <c r="G28" s="21"/>
      <c r="H28" s="23"/>
      <c r="I28" s="21"/>
      <c r="J28" s="21"/>
    </row>
    <row r="29" ht="19" customHeight="1" spans="1:10">
      <c r="A29" s="14"/>
      <c r="B29" s="14"/>
      <c r="C29" s="14" t="s">
        <v>13</v>
      </c>
      <c r="D29" s="16">
        <v>45033</v>
      </c>
      <c r="E29" s="21">
        <f t="shared" si="0"/>
        <v>5</v>
      </c>
      <c r="F29" s="16">
        <v>45038</v>
      </c>
      <c r="G29" s="22">
        <v>1</v>
      </c>
      <c r="H29" s="23">
        <f>E29*G29</f>
        <v>5</v>
      </c>
      <c r="I29" s="21" t="s">
        <v>14</v>
      </c>
      <c r="J29" s="21"/>
    </row>
    <row r="30" ht="19" customHeight="1" spans="1:10">
      <c r="A30" s="14">
        <v>10.2</v>
      </c>
      <c r="B30" s="14" t="s">
        <v>27</v>
      </c>
      <c r="C30" s="14" t="s">
        <v>12</v>
      </c>
      <c r="D30" s="16">
        <v>45033</v>
      </c>
      <c r="E30" s="21">
        <f t="shared" si="0"/>
        <v>6</v>
      </c>
      <c r="F30" s="16">
        <v>45039</v>
      </c>
      <c r="G30" s="21"/>
      <c r="H30" s="23"/>
      <c r="I30" s="21" t="s">
        <v>20</v>
      </c>
      <c r="J30" s="21"/>
    </row>
    <row r="31" ht="19" customHeight="1" spans="1:10">
      <c r="A31" s="14"/>
      <c r="B31" s="14"/>
      <c r="C31" s="14" t="s">
        <v>13</v>
      </c>
      <c r="D31" s="16">
        <v>45033</v>
      </c>
      <c r="E31" s="21">
        <f t="shared" si="0"/>
        <v>23</v>
      </c>
      <c r="F31" s="16">
        <v>45056</v>
      </c>
      <c r="G31" s="22">
        <v>1</v>
      </c>
      <c r="H31" s="23">
        <f>E31*G31</f>
        <v>23</v>
      </c>
      <c r="I31" s="21" t="s">
        <v>14</v>
      </c>
      <c r="J31" s="21"/>
    </row>
    <row r="32" ht="20" customHeight="1" spans="1:10">
      <c r="A32" s="14">
        <v>10.3</v>
      </c>
      <c r="B32" s="14" t="s">
        <v>25</v>
      </c>
      <c r="C32" s="14" t="s">
        <v>12</v>
      </c>
      <c r="D32" s="16">
        <v>45033</v>
      </c>
      <c r="E32" s="21">
        <f t="shared" si="0"/>
        <v>6</v>
      </c>
      <c r="F32" s="16">
        <v>45039</v>
      </c>
      <c r="G32" s="21"/>
      <c r="H32" s="23"/>
      <c r="I32" s="21" t="s">
        <v>20</v>
      </c>
      <c r="J32" s="21"/>
    </row>
    <row r="33" ht="20" customHeight="1" spans="1:10">
      <c r="A33" s="14"/>
      <c r="B33" s="14"/>
      <c r="C33" s="14" t="s">
        <v>13</v>
      </c>
      <c r="D33" s="16">
        <v>45033</v>
      </c>
      <c r="E33" s="21">
        <f t="shared" si="0"/>
        <v>23</v>
      </c>
      <c r="F33" s="16">
        <v>45056</v>
      </c>
      <c r="G33" s="22">
        <v>1</v>
      </c>
      <c r="H33" s="23">
        <f>E33*G33</f>
        <v>23</v>
      </c>
      <c r="I33" s="21" t="s">
        <v>14</v>
      </c>
      <c r="J33" s="21"/>
    </row>
    <row r="34" ht="20" customHeight="1" spans="1:10">
      <c r="A34" s="14">
        <v>11.1</v>
      </c>
      <c r="B34" s="14" t="s">
        <v>28</v>
      </c>
      <c r="C34" s="14" t="s">
        <v>12</v>
      </c>
      <c r="D34" s="16">
        <v>45040</v>
      </c>
      <c r="E34" s="21">
        <f t="shared" si="0"/>
        <v>6</v>
      </c>
      <c r="F34" s="16">
        <v>45046</v>
      </c>
      <c r="G34" s="21"/>
      <c r="H34" s="23"/>
      <c r="I34" s="21"/>
      <c r="J34" s="21"/>
    </row>
    <row r="35" ht="23" customHeight="1" spans="1:10">
      <c r="A35" s="14"/>
      <c r="B35" s="14"/>
      <c r="C35" s="14" t="s">
        <v>13</v>
      </c>
      <c r="D35" s="16">
        <v>45040</v>
      </c>
      <c r="E35" s="21">
        <f t="shared" si="0"/>
        <v>6</v>
      </c>
      <c r="F35" s="16">
        <v>45046</v>
      </c>
      <c r="G35" s="22">
        <v>1</v>
      </c>
      <c r="H35" s="23">
        <f>E35*G35</f>
        <v>6</v>
      </c>
      <c r="I35" s="21" t="s">
        <v>14</v>
      </c>
      <c r="J35" s="21"/>
    </row>
    <row r="36" ht="19" customHeight="1" spans="1:10">
      <c r="A36" s="14">
        <v>11.2</v>
      </c>
      <c r="B36" s="14" t="s">
        <v>29</v>
      </c>
      <c r="C36" s="14" t="s">
        <v>12</v>
      </c>
      <c r="D36" s="16">
        <v>45040</v>
      </c>
      <c r="E36" s="21">
        <f t="shared" si="0"/>
        <v>6</v>
      </c>
      <c r="F36" s="16">
        <v>45046</v>
      </c>
      <c r="G36" s="21"/>
      <c r="H36" s="23"/>
      <c r="I36" s="21"/>
      <c r="J36" s="21"/>
    </row>
    <row r="37" ht="20" customHeight="1" spans="1:10">
      <c r="A37" s="14"/>
      <c r="B37" s="14"/>
      <c r="C37" s="14" t="s">
        <v>13</v>
      </c>
      <c r="D37" s="16">
        <v>45040</v>
      </c>
      <c r="E37" s="21">
        <f t="shared" si="0"/>
        <v>6</v>
      </c>
      <c r="F37" s="16">
        <v>45046</v>
      </c>
      <c r="G37" s="22">
        <v>1</v>
      </c>
      <c r="H37" s="23">
        <f>E37*G37</f>
        <v>6</v>
      </c>
      <c r="I37" s="21" t="s">
        <v>14</v>
      </c>
      <c r="J37" s="21"/>
    </row>
    <row r="38" ht="23" customHeight="1" spans="1:10">
      <c r="A38" s="14">
        <v>11.3</v>
      </c>
      <c r="B38" s="14" t="s">
        <v>30</v>
      </c>
      <c r="C38" s="14" t="s">
        <v>12</v>
      </c>
      <c r="D38" s="16">
        <v>45040</v>
      </c>
      <c r="E38" s="21">
        <f t="shared" si="0"/>
        <v>6</v>
      </c>
      <c r="F38" s="16">
        <v>45046</v>
      </c>
      <c r="G38" s="21"/>
      <c r="H38" s="23"/>
      <c r="I38" s="21"/>
      <c r="J38" s="21"/>
    </row>
    <row r="39" ht="19" customHeight="1" spans="1:10">
      <c r="A39" s="14"/>
      <c r="B39" s="14"/>
      <c r="C39" s="14" t="s">
        <v>13</v>
      </c>
      <c r="D39" s="16">
        <v>45040</v>
      </c>
      <c r="E39" s="21">
        <f t="shared" si="0"/>
        <v>6</v>
      </c>
      <c r="F39" s="16">
        <v>45046</v>
      </c>
      <c r="G39" s="22">
        <v>1</v>
      </c>
      <c r="H39" s="23">
        <f>E39*G39</f>
        <v>6</v>
      </c>
      <c r="I39" s="21" t="s">
        <v>14</v>
      </c>
      <c r="J39" s="21"/>
    </row>
    <row r="40" ht="21" customHeight="1" spans="1:10">
      <c r="A40" s="14">
        <v>12.1</v>
      </c>
      <c r="B40" s="14" t="s">
        <v>31</v>
      </c>
      <c r="C40" s="14" t="s">
        <v>12</v>
      </c>
      <c r="D40" s="16">
        <v>45047</v>
      </c>
      <c r="E40" s="21">
        <f t="shared" si="0"/>
        <v>6</v>
      </c>
      <c r="F40" s="16">
        <v>45053</v>
      </c>
      <c r="G40" s="21"/>
      <c r="H40" s="23"/>
      <c r="I40" s="21"/>
      <c r="J40" s="21"/>
    </row>
    <row r="41" ht="20" customHeight="1" spans="1:10">
      <c r="A41" s="14"/>
      <c r="B41" s="14"/>
      <c r="C41" s="14" t="s">
        <v>13</v>
      </c>
      <c r="D41" s="16">
        <v>45047</v>
      </c>
      <c r="E41" s="21">
        <f t="shared" si="0"/>
        <v>6</v>
      </c>
      <c r="F41" s="16">
        <v>45053</v>
      </c>
      <c r="G41" s="22">
        <v>1</v>
      </c>
      <c r="H41" s="23">
        <f>E41*G41</f>
        <v>6</v>
      </c>
      <c r="I41" s="21" t="s">
        <v>14</v>
      </c>
      <c r="J41" s="21"/>
    </row>
    <row r="42" ht="21" customHeight="1" spans="1:10">
      <c r="A42" s="14">
        <v>12.2</v>
      </c>
      <c r="B42" s="14" t="s">
        <v>30</v>
      </c>
      <c r="C42" s="14" t="s">
        <v>12</v>
      </c>
      <c r="D42" s="16">
        <v>45047</v>
      </c>
      <c r="E42" s="21">
        <f t="shared" si="0"/>
        <v>6</v>
      </c>
      <c r="F42" s="16">
        <v>45053</v>
      </c>
      <c r="G42" s="21"/>
      <c r="H42" s="23"/>
      <c r="I42" s="21"/>
      <c r="J42" s="21"/>
    </row>
    <row r="43" ht="19" customHeight="1" spans="1:10">
      <c r="A43" s="14"/>
      <c r="B43" s="14"/>
      <c r="C43" s="14" t="s">
        <v>13</v>
      </c>
      <c r="D43" s="16">
        <v>45047</v>
      </c>
      <c r="E43" s="21">
        <f t="shared" si="0"/>
        <v>6</v>
      </c>
      <c r="F43" s="16">
        <v>45053</v>
      </c>
      <c r="G43" s="22">
        <v>1</v>
      </c>
      <c r="H43" s="23">
        <f>E43*G43</f>
        <v>6</v>
      </c>
      <c r="I43" s="21" t="s">
        <v>14</v>
      </c>
      <c r="J43" s="21"/>
    </row>
    <row r="44" ht="20" customHeight="1" spans="1:10">
      <c r="A44" s="14">
        <v>13.1</v>
      </c>
      <c r="B44" s="14" t="s">
        <v>32</v>
      </c>
      <c r="C44" s="14" t="s">
        <v>12</v>
      </c>
      <c r="D44" s="16">
        <v>45054</v>
      </c>
      <c r="E44" s="21">
        <f t="shared" si="0"/>
        <v>6</v>
      </c>
      <c r="F44" s="16">
        <v>45060</v>
      </c>
      <c r="G44" s="21"/>
      <c r="H44" s="23"/>
      <c r="I44" s="21"/>
      <c r="J44" s="21"/>
    </row>
    <row r="45" ht="20" customHeight="1" spans="1:10">
      <c r="A45" s="14"/>
      <c r="B45" s="14"/>
      <c r="C45" s="14" t="s">
        <v>13</v>
      </c>
      <c r="D45" s="16">
        <v>45054</v>
      </c>
      <c r="E45" s="21">
        <f t="shared" si="0"/>
        <v>2</v>
      </c>
      <c r="F45" s="16">
        <v>45056</v>
      </c>
      <c r="G45" s="22">
        <v>1</v>
      </c>
      <c r="H45" s="23">
        <f>E45*G45</f>
        <v>2</v>
      </c>
      <c r="I45" s="21" t="s">
        <v>14</v>
      </c>
      <c r="J45" s="21"/>
    </row>
    <row r="46" ht="20" customHeight="1" spans="1:10">
      <c r="A46" s="14">
        <v>13.2</v>
      </c>
      <c r="B46" s="14" t="s">
        <v>33</v>
      </c>
      <c r="C46" s="14" t="s">
        <v>12</v>
      </c>
      <c r="D46" s="16">
        <v>45054</v>
      </c>
      <c r="E46" s="21">
        <f t="shared" si="0"/>
        <v>6</v>
      </c>
      <c r="F46" s="16">
        <v>45060</v>
      </c>
      <c r="G46" s="21"/>
      <c r="H46" s="23"/>
      <c r="I46" s="21"/>
      <c r="J46" s="21"/>
    </row>
    <row r="47" ht="19" customHeight="1" spans="1:10">
      <c r="A47" s="14"/>
      <c r="B47" s="14"/>
      <c r="C47" s="14" t="s">
        <v>13</v>
      </c>
      <c r="D47" s="16">
        <v>45054</v>
      </c>
      <c r="E47" s="21">
        <f t="shared" si="0"/>
        <v>2</v>
      </c>
      <c r="F47" s="16">
        <v>45056</v>
      </c>
      <c r="G47" s="22">
        <v>1</v>
      </c>
      <c r="H47" s="23">
        <f>E47*G47</f>
        <v>2</v>
      </c>
      <c r="I47" s="21" t="s">
        <v>14</v>
      </c>
      <c r="J47" s="21"/>
    </row>
    <row r="48" ht="21" customHeight="1" spans="1:10">
      <c r="A48" s="14">
        <v>13.3</v>
      </c>
      <c r="B48" s="14" t="s">
        <v>30</v>
      </c>
      <c r="C48" s="14" t="s">
        <v>12</v>
      </c>
      <c r="D48" s="16">
        <v>45054</v>
      </c>
      <c r="E48" s="21">
        <f t="shared" si="0"/>
        <v>6</v>
      </c>
      <c r="F48" s="16">
        <v>45060</v>
      </c>
      <c r="G48" s="21"/>
      <c r="H48" s="23"/>
      <c r="I48" s="21"/>
      <c r="J48" s="21"/>
    </row>
    <row r="49" ht="20" customHeight="1" spans="1:10">
      <c r="A49" s="14"/>
      <c r="B49" s="14"/>
      <c r="C49" s="14" t="s">
        <v>13</v>
      </c>
      <c r="D49" s="16">
        <v>45054</v>
      </c>
      <c r="E49" s="21">
        <f t="shared" si="0"/>
        <v>6</v>
      </c>
      <c r="F49" s="16">
        <v>45060</v>
      </c>
      <c r="G49" s="22">
        <v>1</v>
      </c>
      <c r="H49" s="23">
        <f>E49*G49</f>
        <v>6</v>
      </c>
      <c r="I49" s="21" t="s">
        <v>14</v>
      </c>
      <c r="J49" s="21"/>
    </row>
    <row r="50" ht="20" customHeight="1" spans="1:10">
      <c r="A50" s="14">
        <v>14.1</v>
      </c>
      <c r="B50" s="14" t="s">
        <v>34</v>
      </c>
      <c r="C50" s="14" t="s">
        <v>12</v>
      </c>
      <c r="D50" s="16">
        <v>45061</v>
      </c>
      <c r="E50" s="21">
        <f t="shared" si="0"/>
        <v>6</v>
      </c>
      <c r="F50" s="16">
        <v>45067</v>
      </c>
      <c r="G50" s="21"/>
      <c r="H50" s="23"/>
      <c r="I50" s="21"/>
      <c r="J50" s="21"/>
    </row>
    <row r="51" ht="20" customHeight="1" spans="1:10">
      <c r="A51" s="14"/>
      <c r="B51" s="14"/>
      <c r="C51" s="14" t="s">
        <v>13</v>
      </c>
      <c r="D51" s="16">
        <v>45061</v>
      </c>
      <c r="E51" s="21">
        <f t="shared" si="0"/>
        <v>6</v>
      </c>
      <c r="F51" s="16">
        <v>45067</v>
      </c>
      <c r="G51" s="22">
        <v>1</v>
      </c>
      <c r="H51" s="23">
        <f>E51*G51</f>
        <v>6</v>
      </c>
      <c r="I51" s="21" t="s">
        <v>14</v>
      </c>
      <c r="J51" s="21"/>
    </row>
    <row r="52" ht="20" customHeight="1" spans="1:10">
      <c r="A52" s="14">
        <v>14.2</v>
      </c>
      <c r="B52" s="14" t="s">
        <v>30</v>
      </c>
      <c r="C52" s="14" t="s">
        <v>12</v>
      </c>
      <c r="D52" s="16">
        <v>45061</v>
      </c>
      <c r="E52" s="21">
        <f t="shared" si="0"/>
        <v>6</v>
      </c>
      <c r="F52" s="16">
        <v>45067</v>
      </c>
      <c r="G52" s="21"/>
      <c r="H52" s="23"/>
      <c r="I52" s="21"/>
      <c r="J52" s="21"/>
    </row>
    <row r="53" ht="19" customHeight="1" spans="1:10">
      <c r="A53" s="14"/>
      <c r="B53" s="14"/>
      <c r="C53" s="14" t="s">
        <v>13</v>
      </c>
      <c r="D53" s="16">
        <v>45061</v>
      </c>
      <c r="E53" s="21">
        <f t="shared" si="0"/>
        <v>6</v>
      </c>
      <c r="F53" s="16">
        <v>45067</v>
      </c>
      <c r="G53" s="22">
        <v>1</v>
      </c>
      <c r="H53" s="23">
        <f>E53*G53</f>
        <v>6</v>
      </c>
      <c r="I53" s="21" t="s">
        <v>14</v>
      </c>
      <c r="J53" s="21"/>
    </row>
    <row r="54" ht="20" customHeight="1" spans="1:10">
      <c r="A54" s="14">
        <v>15.1</v>
      </c>
      <c r="B54" s="14" t="s">
        <v>35</v>
      </c>
      <c r="C54" s="14" t="s">
        <v>12</v>
      </c>
      <c r="D54" s="16">
        <v>45068</v>
      </c>
      <c r="E54" s="21">
        <f t="shared" si="0"/>
        <v>10</v>
      </c>
      <c r="F54" s="16">
        <v>45078</v>
      </c>
      <c r="G54" s="21"/>
      <c r="H54" s="23"/>
      <c r="I54" s="21"/>
      <c r="J54" s="21"/>
    </row>
    <row r="55" ht="20" customHeight="1" spans="1:10">
      <c r="A55" s="14"/>
      <c r="B55" s="14"/>
      <c r="C55" s="14" t="s">
        <v>13</v>
      </c>
      <c r="D55" s="16">
        <v>45068</v>
      </c>
      <c r="E55" s="21">
        <f>F55-D55</f>
        <v>10</v>
      </c>
      <c r="F55" s="16">
        <v>45078</v>
      </c>
      <c r="G55" s="22">
        <v>1</v>
      </c>
      <c r="H55" s="23">
        <f>E55*G55</f>
        <v>10</v>
      </c>
      <c r="I55" s="21" t="s">
        <v>14</v>
      </c>
      <c r="J55" s="21"/>
    </row>
    <row r="56" ht="20" customHeight="1" spans="1:10">
      <c r="A56" s="14">
        <v>15.2</v>
      </c>
      <c r="B56" s="14" t="s">
        <v>36</v>
      </c>
      <c r="C56" s="14" t="s">
        <v>12</v>
      </c>
      <c r="D56" s="16">
        <v>45078</v>
      </c>
      <c r="E56" s="21">
        <f>F56-D56</f>
        <v>0</v>
      </c>
      <c r="F56" s="16">
        <v>45078</v>
      </c>
      <c r="G56" s="21"/>
      <c r="H56" s="23"/>
      <c r="I56" s="21"/>
      <c r="J56" s="21"/>
    </row>
    <row r="57" ht="20" customHeight="1" spans="1:10">
      <c r="A57" s="14"/>
      <c r="B57" s="14"/>
      <c r="C57" s="14" t="s">
        <v>13</v>
      </c>
      <c r="D57" s="16">
        <v>45078</v>
      </c>
      <c r="E57" s="21">
        <f>F57-D57</f>
        <v>0</v>
      </c>
      <c r="F57" s="16">
        <v>45078</v>
      </c>
      <c r="G57" s="22">
        <v>1</v>
      </c>
      <c r="H57" s="23">
        <f>E57*G57</f>
        <v>0</v>
      </c>
      <c r="I57" s="21" t="s">
        <v>14</v>
      </c>
      <c r="J57" s="21"/>
    </row>
  </sheetData>
  <mergeCells count="53">
    <mergeCell ref="A6:A7"/>
    <mergeCell ref="A8:A9"/>
    <mergeCell ref="A10:A11"/>
    <mergeCell ref="A12:A13"/>
    <mergeCell ref="A14:A15"/>
    <mergeCell ref="A16:A17"/>
    <mergeCell ref="A18:A19"/>
    <mergeCell ref="A20:A21"/>
    <mergeCell ref="A22:A23"/>
    <mergeCell ref="A24:A25"/>
    <mergeCell ref="A26:A27"/>
    <mergeCell ref="A28:A29"/>
    <mergeCell ref="A30:A31"/>
    <mergeCell ref="A32:A33"/>
    <mergeCell ref="A34:A35"/>
    <mergeCell ref="A36:A37"/>
    <mergeCell ref="A38:A39"/>
    <mergeCell ref="A40:A41"/>
    <mergeCell ref="A42:A43"/>
    <mergeCell ref="A44:A45"/>
    <mergeCell ref="A46:A47"/>
    <mergeCell ref="A48:A49"/>
    <mergeCell ref="A50:A51"/>
    <mergeCell ref="A52:A53"/>
    <mergeCell ref="A54:A55"/>
    <mergeCell ref="A56:A57"/>
    <mergeCell ref="B6:B7"/>
    <mergeCell ref="B8:B9"/>
    <mergeCell ref="B10:B11"/>
    <mergeCell ref="B12:B13"/>
    <mergeCell ref="B14:B15"/>
    <mergeCell ref="B16:B17"/>
    <mergeCell ref="B18:B19"/>
    <mergeCell ref="B20:B21"/>
    <mergeCell ref="B22:B23"/>
    <mergeCell ref="B24:B25"/>
    <mergeCell ref="B26:B27"/>
    <mergeCell ref="B28:B29"/>
    <mergeCell ref="B30:B31"/>
    <mergeCell ref="B32:B33"/>
    <mergeCell ref="B34:B35"/>
    <mergeCell ref="B36:B37"/>
    <mergeCell ref="B38:B39"/>
    <mergeCell ref="B40:B41"/>
    <mergeCell ref="B42:B43"/>
    <mergeCell ref="B44:B45"/>
    <mergeCell ref="B46:B47"/>
    <mergeCell ref="B48:B49"/>
    <mergeCell ref="B50:B51"/>
    <mergeCell ref="B52:B53"/>
    <mergeCell ref="B54:B55"/>
    <mergeCell ref="B56:B57"/>
    <mergeCell ref="A1:R4"/>
  </mergeCells>
  <conditionalFormatting sqref="G9">
    <cfRule type="dataBar" priority="26">
      <dataBar>
        <cfvo type="min"/>
        <cfvo type="max"/>
        <color rgb="FF638EC6"/>
      </dataBar>
      <extLst>
        <ext xmlns:x14="http://schemas.microsoft.com/office/spreadsheetml/2009/9/main" uri="{B025F937-C7B1-47D3-B67F-A62EFF666E3E}">
          <x14:id>{065013ea-ee37-4310-8154-bf0185168a1a}</x14:id>
        </ext>
      </extLst>
    </cfRule>
  </conditionalFormatting>
  <conditionalFormatting sqref="I9">
    <cfRule type="cellIs" dxfId="0" priority="53" operator="equal">
      <formula>"滞后"</formula>
    </cfRule>
    <cfRule type="dataBar" priority="58">
      <dataBar>
        <cfvo type="min"/>
        <cfvo type="max"/>
        <color rgb="FF638EC6"/>
      </dataBar>
      <extLst>
        <ext xmlns:x14="http://schemas.microsoft.com/office/spreadsheetml/2009/9/main" uri="{B025F937-C7B1-47D3-B67F-A62EFF666E3E}">
          <x14:id>{1174c6d4-57a9-4301-9bb7-9da4d2e8425c}</x14:id>
        </ext>
      </extLst>
    </cfRule>
  </conditionalFormatting>
  <conditionalFormatting sqref="G11">
    <cfRule type="dataBar" priority="25">
      <dataBar>
        <cfvo type="min"/>
        <cfvo type="max"/>
        <color rgb="FF638EC6"/>
      </dataBar>
      <extLst>
        <ext xmlns:x14="http://schemas.microsoft.com/office/spreadsheetml/2009/9/main" uri="{B025F937-C7B1-47D3-B67F-A62EFF666E3E}">
          <x14:id>{b6b2fa7b-970b-412f-920d-91efb8ad8fd5}</x14:id>
        </ext>
      </extLst>
    </cfRule>
  </conditionalFormatting>
  <conditionalFormatting sqref="I11">
    <cfRule type="cellIs" dxfId="0" priority="51" operator="equal">
      <formula>"滞后"</formula>
    </cfRule>
    <cfRule type="dataBar" priority="59">
      <dataBar>
        <cfvo type="min"/>
        <cfvo type="max"/>
        <color rgb="FF638EC6"/>
      </dataBar>
      <extLst>
        <ext xmlns:x14="http://schemas.microsoft.com/office/spreadsheetml/2009/9/main" uri="{B025F937-C7B1-47D3-B67F-A62EFF666E3E}">
          <x14:id>{5833569e-6ffd-4048-a66e-81c5d1fe3265}</x14:id>
        </ext>
      </extLst>
    </cfRule>
  </conditionalFormatting>
  <conditionalFormatting sqref="G13">
    <cfRule type="dataBar" priority="24">
      <dataBar>
        <cfvo type="min"/>
        <cfvo type="max"/>
        <color rgb="FF638EC6"/>
      </dataBar>
      <extLst>
        <ext xmlns:x14="http://schemas.microsoft.com/office/spreadsheetml/2009/9/main" uri="{B025F937-C7B1-47D3-B67F-A62EFF666E3E}">
          <x14:id>{2251acf4-f96d-44f4-97e0-e52ddf3b57f3}</x14:id>
        </ext>
      </extLst>
    </cfRule>
  </conditionalFormatting>
  <conditionalFormatting sqref="I13">
    <cfRule type="cellIs" dxfId="0" priority="49" operator="equal">
      <formula>"滞后"</formula>
    </cfRule>
    <cfRule type="dataBar" priority="60">
      <dataBar>
        <cfvo type="min"/>
        <cfvo type="max"/>
        <color rgb="FF638EC6"/>
      </dataBar>
      <extLst>
        <ext xmlns:x14="http://schemas.microsoft.com/office/spreadsheetml/2009/9/main" uri="{B025F937-C7B1-47D3-B67F-A62EFF666E3E}">
          <x14:id>{cbdda63f-aac9-4f6e-8aeb-198060ecef8a}</x14:id>
        </ext>
      </extLst>
    </cfRule>
  </conditionalFormatting>
  <conditionalFormatting sqref="G15">
    <cfRule type="dataBar" priority="23">
      <dataBar>
        <cfvo type="min"/>
        <cfvo type="max"/>
        <color rgb="FF638EC6"/>
      </dataBar>
      <extLst>
        <ext xmlns:x14="http://schemas.microsoft.com/office/spreadsheetml/2009/9/main" uri="{B025F937-C7B1-47D3-B67F-A62EFF666E3E}">
          <x14:id>{21629803-583b-42b4-b834-084304599ad5}</x14:id>
        </ext>
      </extLst>
    </cfRule>
  </conditionalFormatting>
  <conditionalFormatting sqref="I15">
    <cfRule type="cellIs" dxfId="0" priority="47" operator="equal">
      <formula>"滞后"</formula>
    </cfRule>
    <cfRule type="dataBar" priority="61">
      <dataBar>
        <cfvo type="min"/>
        <cfvo type="max"/>
        <color rgb="FF638EC6"/>
      </dataBar>
      <extLst>
        <ext xmlns:x14="http://schemas.microsoft.com/office/spreadsheetml/2009/9/main" uri="{B025F937-C7B1-47D3-B67F-A62EFF666E3E}">
          <x14:id>{f9927ed7-e966-475b-9bcd-c041274048e8}</x14:id>
        </ext>
      </extLst>
    </cfRule>
  </conditionalFormatting>
  <conditionalFormatting sqref="G17">
    <cfRule type="dataBar" priority="22">
      <dataBar>
        <cfvo type="min"/>
        <cfvo type="max"/>
        <color rgb="FF638EC6"/>
      </dataBar>
      <extLst>
        <ext xmlns:x14="http://schemas.microsoft.com/office/spreadsheetml/2009/9/main" uri="{B025F937-C7B1-47D3-B67F-A62EFF666E3E}">
          <x14:id>{6fee1bed-4d8e-47dd-831a-69eef90fbcba}</x14:id>
        </ext>
      </extLst>
    </cfRule>
  </conditionalFormatting>
  <conditionalFormatting sqref="I17">
    <cfRule type="cellIs" dxfId="0" priority="45" operator="equal">
      <formula>"滞后"</formula>
    </cfRule>
    <cfRule type="dataBar" priority="62">
      <dataBar>
        <cfvo type="min"/>
        <cfvo type="max"/>
        <color rgb="FF638EC6"/>
      </dataBar>
      <extLst>
        <ext xmlns:x14="http://schemas.microsoft.com/office/spreadsheetml/2009/9/main" uri="{B025F937-C7B1-47D3-B67F-A62EFF666E3E}">
          <x14:id>{ef638777-bf2a-4fd2-b3a0-2ab146ce6323}</x14:id>
        </ext>
      </extLst>
    </cfRule>
  </conditionalFormatting>
  <conditionalFormatting sqref="G19">
    <cfRule type="dataBar" priority="21">
      <dataBar>
        <cfvo type="min"/>
        <cfvo type="max"/>
        <color rgb="FF638EC6"/>
      </dataBar>
      <extLst>
        <ext xmlns:x14="http://schemas.microsoft.com/office/spreadsheetml/2009/9/main" uri="{B025F937-C7B1-47D3-B67F-A62EFF666E3E}">
          <x14:id>{a2d35036-97d5-4008-8f2a-2b0ef42f3bc4}</x14:id>
        </ext>
      </extLst>
    </cfRule>
  </conditionalFormatting>
  <conditionalFormatting sqref="I19">
    <cfRule type="cellIs" dxfId="0" priority="43" operator="equal">
      <formula>"滞后"</formula>
    </cfRule>
    <cfRule type="dataBar" priority="63">
      <dataBar>
        <cfvo type="min"/>
        <cfvo type="max"/>
        <color rgb="FF638EC6"/>
      </dataBar>
      <extLst>
        <ext xmlns:x14="http://schemas.microsoft.com/office/spreadsheetml/2009/9/main" uri="{B025F937-C7B1-47D3-B67F-A62EFF666E3E}">
          <x14:id>{fd0538c9-3a9f-4fb0-aa95-4225d9355a9b}</x14:id>
        </ext>
      </extLst>
    </cfRule>
  </conditionalFormatting>
  <conditionalFormatting sqref="G21">
    <cfRule type="dataBar" priority="20">
      <dataBar>
        <cfvo type="min"/>
        <cfvo type="max"/>
        <color rgb="FF638EC6"/>
      </dataBar>
      <extLst>
        <ext xmlns:x14="http://schemas.microsoft.com/office/spreadsheetml/2009/9/main" uri="{B025F937-C7B1-47D3-B67F-A62EFF666E3E}">
          <x14:id>{884385a3-baf5-45d0-bd6c-4e0c59d68136}</x14:id>
        </ext>
      </extLst>
    </cfRule>
  </conditionalFormatting>
  <conditionalFormatting sqref="I21">
    <cfRule type="cellIs" dxfId="0" priority="41" operator="equal">
      <formula>"滞后"</formula>
    </cfRule>
    <cfRule type="dataBar" priority="64">
      <dataBar>
        <cfvo type="min"/>
        <cfvo type="max"/>
        <color rgb="FF638EC6"/>
      </dataBar>
      <extLst>
        <ext xmlns:x14="http://schemas.microsoft.com/office/spreadsheetml/2009/9/main" uri="{B025F937-C7B1-47D3-B67F-A62EFF666E3E}">
          <x14:id>{90ce46c2-8a67-47d0-a178-81309cc17750}</x14:id>
        </ext>
      </extLst>
    </cfRule>
  </conditionalFormatting>
  <conditionalFormatting sqref="E5:E57">
    <cfRule type="dataBar" priority="17">
      <dataBar>
        <cfvo type="min"/>
        <cfvo type="max"/>
        <color rgb="FF638EC6"/>
      </dataBar>
      <extLst>
        <ext xmlns:x14="http://schemas.microsoft.com/office/spreadsheetml/2009/9/main" uri="{B025F937-C7B1-47D3-B67F-A62EFF666E3E}">
          <x14:id>{66a138ac-3c8d-406d-89e8-d83cbd0945c7}</x14:id>
        </ext>
      </extLst>
    </cfRule>
  </conditionalFormatting>
  <conditionalFormatting sqref="G5:G1048576">
    <cfRule type="dataBar" priority="18">
      <dataBar>
        <cfvo type="min"/>
        <cfvo type="max"/>
        <color rgb="FF63C384"/>
      </dataBar>
      <extLst>
        <ext xmlns:x14="http://schemas.microsoft.com/office/spreadsheetml/2009/9/main" uri="{B025F937-C7B1-47D3-B67F-A62EFF666E3E}">
          <x14:id>{2c582196-003e-4abc-aa18-60a0a3da4607}</x14:id>
        </ext>
      </extLst>
    </cfRule>
  </conditionalFormatting>
  <conditionalFormatting sqref="I5:I8 I10 G10 G12 I12 I14 G14 G16 I16 I18 G18 G20 I20 I22 G22 G5:G8 G24 G26 I24 I26 G28 G30 G32 I28 I30 I32 G34 G36 G38 I34 I36 I38 G40 G42 G44 I40 I42 I44 G46 I46 G48 I48 G50 G52 I50 I52 G54 G56 I54 I56">
    <cfRule type="dataBar" priority="66">
      <dataBar>
        <cfvo type="min"/>
        <cfvo type="max"/>
        <color rgb="FF638EC6"/>
      </dataBar>
      <extLst>
        <ext xmlns:x14="http://schemas.microsoft.com/office/spreadsheetml/2009/9/main" uri="{B025F937-C7B1-47D3-B67F-A62EFF666E3E}">
          <x14:id>{cd230695-3ace-4651-a487-6132e1b209df}</x14:id>
        </ext>
      </extLst>
    </cfRule>
  </conditionalFormatting>
  <conditionalFormatting sqref="I5:I8 I10 I12 I14 I16 I18 I20 I22 I24 I26 I28 I30 I32 I34 I36 I38 I40 I42 I44 I46 I48 I50 I52 I54 I56">
    <cfRule type="cellIs" dxfId="0" priority="55" operator="equal">
      <formula>"滞后"</formula>
    </cfRule>
  </conditionalFormatting>
  <conditionalFormatting sqref="G23 G25 G27 G29 G31 G33 G35 G37 G39 G41 G43 G45 G47 G49 G51 G53 G55 G57">
    <cfRule type="dataBar" priority="19">
      <dataBar>
        <cfvo type="min"/>
        <cfvo type="max"/>
        <color rgb="FF638EC6"/>
      </dataBar>
      <extLst>
        <ext xmlns:x14="http://schemas.microsoft.com/office/spreadsheetml/2009/9/main" uri="{B025F937-C7B1-47D3-B67F-A62EFF666E3E}">
          <x14:id>{ef1f9f0b-ffdf-4c80-b7fb-553e77db8a12}</x14:id>
        </ext>
      </extLst>
    </cfRule>
  </conditionalFormatting>
  <conditionalFormatting sqref="I23 I25 I27 I29 I31 I33 I35 I37 I39 I41 I43 I45 I47 I49 I51 I53 I55 I57">
    <cfRule type="cellIs" dxfId="0" priority="1" operator="equal">
      <formula>"滞后"</formula>
    </cfRule>
    <cfRule type="dataBar" priority="2">
      <dataBar>
        <cfvo type="min"/>
        <cfvo type="max"/>
        <color rgb="FF638EC6"/>
      </dataBar>
      <extLst>
        <ext xmlns:x14="http://schemas.microsoft.com/office/spreadsheetml/2009/9/main" uri="{B025F937-C7B1-47D3-B67F-A62EFF666E3E}">
          <x14:id>{8cc41dd5-70d1-4fdd-856e-9fe7ea053c25}</x14:id>
        </ext>
      </extLst>
    </cfRule>
  </conditionalFormatting>
  <dataValidations count="1">
    <dataValidation type="list" allowBlank="1" showInputMessage="1" showErrorMessage="1" sqref="I22 I23 I24 I25 I26 I27 I28 I29 I30 I31 I32 I33 I34 I35 I36 I37 I38 I39 I40 I41 I42 I43 I44 I45 I46 I47 I48 I49 I50 I51 I52 I53 I54 I55 I56 I57 I5:I21">
      <formula1>"已经完成,未完成,滞后,变更"</formula1>
    </dataValidation>
  </dataValidations>
  <pageMargins left="0.7" right="0.7" top="0.75" bottom="0.75" header="0.3" footer="0.3"/>
  <pageSetup paperSize="9" orientation="portrait"/>
  <headerFooter/>
  <extLst>
    <ext xmlns:x14="http://schemas.microsoft.com/office/spreadsheetml/2009/9/main" uri="{78C0D931-6437-407d-A8EE-F0AAD7539E65}">
      <x14:conditionalFormattings>
        <x14:conditionalFormatting xmlns:xm="http://schemas.microsoft.com/office/excel/2006/main">
          <x14:cfRule type="dataBar" id="{065013ea-ee37-4310-8154-bf0185168a1a}">
            <x14:dataBar minLength="0" maxLength="100" gradient="0">
              <x14:cfvo type="autoMin"/>
              <x14:cfvo type="autoMax"/>
              <x14:negativeFillColor rgb="FFFF0000"/>
              <x14:axisColor rgb="FF000000"/>
            </x14:dataBar>
          </x14:cfRule>
          <xm:sqref>G9</xm:sqref>
        </x14:conditionalFormatting>
        <x14:conditionalFormatting xmlns:xm="http://schemas.microsoft.com/office/excel/2006/main">
          <x14:cfRule type="dataBar" id="{1174c6d4-57a9-4301-9bb7-9da4d2e8425c}">
            <x14:dataBar minLength="0" maxLength="100" gradient="0">
              <x14:cfvo type="autoMin"/>
              <x14:cfvo type="autoMax"/>
              <x14:negativeFillColor rgb="FFFF0000"/>
              <x14:axisColor rgb="FF000000"/>
            </x14:dataBar>
          </x14:cfRule>
          <xm:sqref>I9</xm:sqref>
        </x14:conditionalFormatting>
        <x14:conditionalFormatting xmlns:xm="http://schemas.microsoft.com/office/excel/2006/main">
          <x14:cfRule type="dataBar" id="{b6b2fa7b-970b-412f-920d-91efb8ad8fd5}">
            <x14:dataBar minLength="0" maxLength="100" gradient="0">
              <x14:cfvo type="autoMin"/>
              <x14:cfvo type="autoMax"/>
              <x14:negativeFillColor rgb="FFFF0000"/>
              <x14:axisColor rgb="FF000000"/>
            </x14:dataBar>
          </x14:cfRule>
          <xm:sqref>G11</xm:sqref>
        </x14:conditionalFormatting>
        <x14:conditionalFormatting xmlns:xm="http://schemas.microsoft.com/office/excel/2006/main">
          <x14:cfRule type="dataBar" id="{5833569e-6ffd-4048-a66e-81c5d1fe3265}">
            <x14:dataBar minLength="0" maxLength="100" gradient="0">
              <x14:cfvo type="autoMin"/>
              <x14:cfvo type="autoMax"/>
              <x14:negativeFillColor rgb="FFFF0000"/>
              <x14:axisColor rgb="FF000000"/>
            </x14:dataBar>
          </x14:cfRule>
          <xm:sqref>I11</xm:sqref>
        </x14:conditionalFormatting>
        <x14:conditionalFormatting xmlns:xm="http://schemas.microsoft.com/office/excel/2006/main">
          <x14:cfRule type="dataBar" id="{2251acf4-f96d-44f4-97e0-e52ddf3b57f3}">
            <x14:dataBar minLength="0" maxLength="100" gradient="0">
              <x14:cfvo type="autoMin"/>
              <x14:cfvo type="autoMax"/>
              <x14:negativeFillColor rgb="FFFF0000"/>
              <x14:axisColor rgb="FF000000"/>
            </x14:dataBar>
          </x14:cfRule>
          <xm:sqref>G13</xm:sqref>
        </x14:conditionalFormatting>
        <x14:conditionalFormatting xmlns:xm="http://schemas.microsoft.com/office/excel/2006/main">
          <x14:cfRule type="dataBar" id="{cbdda63f-aac9-4f6e-8aeb-198060ecef8a}">
            <x14:dataBar minLength="0" maxLength="100" gradient="0">
              <x14:cfvo type="autoMin"/>
              <x14:cfvo type="autoMax"/>
              <x14:negativeFillColor rgb="FFFF0000"/>
              <x14:axisColor rgb="FF000000"/>
            </x14:dataBar>
          </x14:cfRule>
          <xm:sqref>I13</xm:sqref>
        </x14:conditionalFormatting>
        <x14:conditionalFormatting xmlns:xm="http://schemas.microsoft.com/office/excel/2006/main">
          <x14:cfRule type="dataBar" id="{21629803-583b-42b4-b834-084304599ad5}">
            <x14:dataBar minLength="0" maxLength="100" gradient="0">
              <x14:cfvo type="autoMin"/>
              <x14:cfvo type="autoMax"/>
              <x14:negativeFillColor rgb="FFFF0000"/>
              <x14:axisColor rgb="FF000000"/>
            </x14:dataBar>
          </x14:cfRule>
          <xm:sqref>G15</xm:sqref>
        </x14:conditionalFormatting>
        <x14:conditionalFormatting xmlns:xm="http://schemas.microsoft.com/office/excel/2006/main">
          <x14:cfRule type="dataBar" id="{f9927ed7-e966-475b-9bcd-c041274048e8}">
            <x14:dataBar minLength="0" maxLength="100" gradient="0">
              <x14:cfvo type="autoMin"/>
              <x14:cfvo type="autoMax"/>
              <x14:negativeFillColor rgb="FFFF0000"/>
              <x14:axisColor rgb="FF000000"/>
            </x14:dataBar>
          </x14:cfRule>
          <xm:sqref>I15</xm:sqref>
        </x14:conditionalFormatting>
        <x14:conditionalFormatting xmlns:xm="http://schemas.microsoft.com/office/excel/2006/main">
          <x14:cfRule type="dataBar" id="{6fee1bed-4d8e-47dd-831a-69eef90fbcba}">
            <x14:dataBar minLength="0" maxLength="100" gradient="0">
              <x14:cfvo type="autoMin"/>
              <x14:cfvo type="autoMax"/>
              <x14:negativeFillColor rgb="FFFF0000"/>
              <x14:axisColor rgb="FF000000"/>
            </x14:dataBar>
          </x14:cfRule>
          <xm:sqref>G17</xm:sqref>
        </x14:conditionalFormatting>
        <x14:conditionalFormatting xmlns:xm="http://schemas.microsoft.com/office/excel/2006/main">
          <x14:cfRule type="dataBar" id="{ef638777-bf2a-4fd2-b3a0-2ab146ce6323}">
            <x14:dataBar minLength="0" maxLength="100" gradient="0">
              <x14:cfvo type="autoMin"/>
              <x14:cfvo type="autoMax"/>
              <x14:negativeFillColor rgb="FFFF0000"/>
              <x14:axisColor rgb="FF000000"/>
            </x14:dataBar>
          </x14:cfRule>
          <xm:sqref>I17</xm:sqref>
        </x14:conditionalFormatting>
        <x14:conditionalFormatting xmlns:xm="http://schemas.microsoft.com/office/excel/2006/main">
          <x14:cfRule type="dataBar" id="{a2d35036-97d5-4008-8f2a-2b0ef42f3bc4}">
            <x14:dataBar minLength="0" maxLength="100" gradient="0">
              <x14:cfvo type="autoMin"/>
              <x14:cfvo type="autoMax"/>
              <x14:negativeFillColor rgb="FFFF0000"/>
              <x14:axisColor rgb="FF000000"/>
            </x14:dataBar>
          </x14:cfRule>
          <xm:sqref>G19</xm:sqref>
        </x14:conditionalFormatting>
        <x14:conditionalFormatting xmlns:xm="http://schemas.microsoft.com/office/excel/2006/main">
          <x14:cfRule type="dataBar" id="{fd0538c9-3a9f-4fb0-aa95-4225d9355a9b}">
            <x14:dataBar minLength="0" maxLength="100" gradient="0">
              <x14:cfvo type="autoMin"/>
              <x14:cfvo type="autoMax"/>
              <x14:negativeFillColor rgb="FFFF0000"/>
              <x14:axisColor rgb="FF000000"/>
            </x14:dataBar>
          </x14:cfRule>
          <xm:sqref>I19</xm:sqref>
        </x14:conditionalFormatting>
        <x14:conditionalFormatting xmlns:xm="http://schemas.microsoft.com/office/excel/2006/main">
          <x14:cfRule type="dataBar" id="{884385a3-baf5-45d0-bd6c-4e0c59d68136}">
            <x14:dataBar minLength="0" maxLength="100" gradient="0">
              <x14:cfvo type="autoMin"/>
              <x14:cfvo type="autoMax"/>
              <x14:negativeFillColor rgb="FFFF0000"/>
              <x14:axisColor rgb="FF000000"/>
            </x14:dataBar>
          </x14:cfRule>
          <xm:sqref>G21</xm:sqref>
        </x14:conditionalFormatting>
        <x14:conditionalFormatting xmlns:xm="http://schemas.microsoft.com/office/excel/2006/main">
          <x14:cfRule type="dataBar" id="{90ce46c2-8a67-47d0-a178-81309cc17750}">
            <x14:dataBar minLength="0" maxLength="100" gradient="0">
              <x14:cfvo type="autoMin"/>
              <x14:cfvo type="autoMax"/>
              <x14:negativeFillColor rgb="FFFF0000"/>
              <x14:axisColor rgb="FF000000"/>
            </x14:dataBar>
          </x14:cfRule>
          <xm:sqref>I21</xm:sqref>
        </x14:conditionalFormatting>
        <x14:conditionalFormatting xmlns:xm="http://schemas.microsoft.com/office/excel/2006/main">
          <x14:cfRule type="dataBar" id="{66a138ac-3c8d-406d-89e8-d83cbd0945c7}">
            <x14:dataBar minLength="0" maxLength="100" gradient="0">
              <x14:cfvo type="autoMin"/>
              <x14:cfvo type="autoMax"/>
              <x14:negativeFillColor rgb="FFFF0000"/>
              <x14:axisColor rgb="FF000000"/>
            </x14:dataBar>
          </x14:cfRule>
          <xm:sqref>E5:E57</xm:sqref>
        </x14:conditionalFormatting>
        <x14:conditionalFormatting xmlns:xm="http://schemas.microsoft.com/office/excel/2006/main">
          <x14:cfRule type="dataBar" id="{2c582196-003e-4abc-aa18-60a0a3da4607}">
            <x14:dataBar minLength="0" maxLength="100" gradient="0">
              <x14:cfvo type="autoMin"/>
              <x14:cfvo type="autoMax"/>
              <x14:negativeFillColor rgb="FFFF0000"/>
              <x14:axisColor rgb="FF000000"/>
            </x14:dataBar>
          </x14:cfRule>
          <xm:sqref>G5:G1048576</xm:sqref>
        </x14:conditionalFormatting>
        <x14:conditionalFormatting xmlns:xm="http://schemas.microsoft.com/office/excel/2006/main">
          <x14:cfRule type="dataBar" id="{cd230695-3ace-4651-a487-6132e1b209df}">
            <x14:dataBar minLength="0" maxLength="100" gradient="0">
              <x14:cfvo type="autoMin"/>
              <x14:cfvo type="autoMax"/>
              <x14:negativeFillColor rgb="FFFF0000"/>
              <x14:axisColor rgb="FF000000"/>
            </x14:dataBar>
          </x14:cfRule>
          <xm:sqref>I5:I8 I10 G10 G12 I12 I14 G14 G16 I16 I18 G18 G20 I20 I22 G22 G5:G8 G24 G26 I24 I26 G28 G30 G32 I28 I30 I32 G34 G36 G38 I34 I36 I38 G40 G42 G44 I40 I42 I44 G46 I46 G48 I48 G50 G52 I50 I52 G54 G56 I54 I56</xm:sqref>
        </x14:conditionalFormatting>
        <x14:conditionalFormatting xmlns:xm="http://schemas.microsoft.com/office/excel/2006/main">
          <x14:cfRule type="dataBar" id="{ef1f9f0b-ffdf-4c80-b7fb-553e77db8a12}">
            <x14:dataBar minLength="0" maxLength="100" gradient="0">
              <x14:cfvo type="autoMin"/>
              <x14:cfvo type="autoMax"/>
              <x14:negativeFillColor rgb="FFFF0000"/>
              <x14:axisColor rgb="FF000000"/>
            </x14:dataBar>
          </x14:cfRule>
          <xm:sqref>G23 G25 G27 G29 G31 G33 G35 G37 G39 G41 G43 G45 G47 G49 G51 G53 G55 G57</xm:sqref>
        </x14:conditionalFormatting>
        <x14:conditionalFormatting xmlns:xm="http://schemas.microsoft.com/office/excel/2006/main">
          <x14:cfRule type="dataBar" id="{8cc41dd5-70d1-4fdd-856e-9fe7ea053c25}">
            <x14:dataBar minLength="0" maxLength="100" gradient="0">
              <x14:cfvo type="autoMin"/>
              <x14:cfvo type="autoMax"/>
              <x14:negativeFillColor rgb="FFFF0000"/>
              <x14:axisColor rgb="FF000000"/>
            </x14:dataBar>
          </x14:cfRule>
          <xm:sqref>I23 I25 I27 I29 I31 I33 I35 I37 I39 I41 I43 I45 I47 I49 I51 I53 I55 I57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M2"/>
  <sheetViews>
    <sheetView workbookViewId="0">
      <selection activeCell="A2" sqref="A2:M2"/>
    </sheetView>
  </sheetViews>
  <sheetFormatPr defaultColWidth="9" defaultRowHeight="16.8" outlineLevelRow="1"/>
  <cols>
    <col min="1" max="16384" width="9" style="1"/>
  </cols>
  <sheetData>
    <row r="1" ht="59.25" customHeight="1" spans="1:13">
      <c r="A1" s="2" t="s">
        <v>37</v>
      </c>
      <c r="B1" s="3"/>
      <c r="C1" s="3"/>
      <c r="D1" s="3"/>
      <c r="E1" s="3"/>
      <c r="F1" s="3"/>
      <c r="G1" s="3"/>
      <c r="H1" s="3"/>
      <c r="I1" s="3"/>
      <c r="J1" s="3"/>
      <c r="K1" s="3"/>
      <c r="L1" s="3"/>
      <c r="M1" s="6"/>
    </row>
    <row r="2" ht="215.25" customHeight="1" spans="1:13">
      <c r="A2" s="4" t="s">
        <v>38</v>
      </c>
      <c r="B2" s="5"/>
      <c r="C2" s="5"/>
      <c r="D2" s="5"/>
      <c r="E2" s="5"/>
      <c r="F2" s="5"/>
      <c r="G2" s="5"/>
      <c r="H2" s="5"/>
      <c r="I2" s="5"/>
      <c r="J2" s="5"/>
      <c r="K2" s="5"/>
      <c r="L2" s="5"/>
      <c r="M2" s="7"/>
    </row>
  </sheetData>
  <sheetProtection autoFilter="0"/>
  <mergeCells count="2">
    <mergeCell ref="A1:M1"/>
    <mergeCell ref="A2:M2"/>
  </mergeCells>
  <pageMargins left="0.7" right="0.7"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vt:i4>
      </vt:variant>
    </vt:vector>
  </HeadingPairs>
  <TitlesOfParts>
    <vt:vector size="2" baseType="lpstr">
      <vt:lpstr>schedule</vt:lpstr>
      <vt:lpstr>版权说明</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Mete0r</cp:lastModifiedBy>
  <dcterms:created xsi:type="dcterms:W3CDTF">2006-09-18T08:00:00Z</dcterms:created>
  <dcterms:modified xsi:type="dcterms:W3CDTF">2023-05-29T20:52:25Z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7AE810566A5946C99B6A2964A7536B20</vt:lpwstr>
  </property>
  <property fmtid="{D5CDD505-2E9C-101B-9397-08002B2CF9AE}" pid="3" name="KSOProductBuildVer">
    <vt:lpwstr>2052-5.1.1.7676</vt:lpwstr>
  </property>
</Properties>
</file>